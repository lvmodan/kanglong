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90" windowWidth="15480" windowHeight="9285" activeTab="7"/>
  </bookViews>
  <sheets>
    <sheet name="E1" sheetId="11" r:id="rId1"/>
    <sheet name="E2" sheetId="10" r:id="rId2"/>
    <sheet name="E3" sheetId="9" r:id="rId3"/>
    <sheet name="E4" sheetId="8" r:id="rId4"/>
    <sheet name="E5" sheetId="7" r:id="rId5"/>
    <sheet name="E6" sheetId="6" r:id="rId6"/>
    <sheet name="E7" sheetId="5" r:id="rId7"/>
    <sheet name="E8" sheetId="4" r:id="rId8"/>
    <sheet name="E9" sheetId="1" r:id="rId9"/>
    <sheet name="E10" sheetId="2" r:id="rId10"/>
    <sheet name="E11" sheetId="3" r:id="rId11"/>
  </sheets>
  <calcPr calcId="124519"/>
</workbook>
</file>

<file path=xl/calcChain.xml><?xml version="1.0" encoding="utf-8"?>
<calcChain xmlns="http://schemas.openxmlformats.org/spreadsheetml/2006/main">
  <c r="J59" i="4"/>
  <c r="I59"/>
  <c r="J57"/>
  <c r="I57"/>
  <c r="E58"/>
  <c r="D58"/>
  <c r="E57"/>
  <c r="D57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D26"/>
  <c r="D27"/>
  <c r="D28"/>
  <c r="D29"/>
  <c r="D30"/>
  <c r="D31"/>
  <c r="D32"/>
  <c r="D33"/>
  <c r="D34"/>
  <c r="D25"/>
  <c r="D24"/>
  <c r="I19"/>
  <c r="H19"/>
  <c r="G19"/>
  <c r="I18"/>
  <c r="H18"/>
  <c r="G18"/>
  <c r="G16" i="6"/>
  <c r="F16"/>
  <c r="G15"/>
  <c r="F15"/>
  <c r="J51" i="7"/>
  <c r="I51"/>
  <c r="J49"/>
  <c r="I49"/>
  <c r="F49"/>
  <c r="E49"/>
  <c r="E40"/>
  <c r="F50"/>
  <c r="E50"/>
  <c r="H40"/>
  <c r="G40"/>
  <c r="F40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K20"/>
  <c r="K21"/>
  <c r="K22"/>
  <c r="K23"/>
  <c r="K24"/>
  <c r="K25"/>
  <c r="K26"/>
  <c r="K27"/>
  <c r="K28"/>
  <c r="K29"/>
  <c r="K30"/>
  <c r="K19"/>
  <c r="K18"/>
  <c r="F24"/>
  <c r="E24"/>
  <c r="D24"/>
  <c r="F20"/>
  <c r="E20"/>
  <c r="D20"/>
  <c r="C25" i="10"/>
  <c r="C26"/>
  <c r="C27"/>
  <c r="C28"/>
  <c r="C29"/>
  <c r="C30"/>
  <c r="C31"/>
  <c r="C24"/>
  <c r="C19"/>
</calcChain>
</file>

<file path=xl/sharedStrings.xml><?xml version="1.0" encoding="utf-8"?>
<sst xmlns="http://schemas.openxmlformats.org/spreadsheetml/2006/main" count="157" uniqueCount="117">
  <si>
    <t>方案</t>
  </si>
  <si>
    <t>最初投資額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</si>
  <si>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</si>
  <si>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</si>
  <si>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</si>
  <si>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</si>
  <si>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</si>
  <si>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</si>
  <si>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</si>
  <si>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</si>
  <si>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</si>
  <si>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</si>
  <si>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</si>
  <si>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</si>
  <si>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</si>
  <si>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</si>
  <si>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</si>
  <si>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期</t>
  </si>
  <si>
    <t>現金流量</t>
  </si>
  <si>
    <r>
      <t>方案</t>
    </r>
    <r>
      <rPr>
        <sz val="10"/>
        <color theme="1"/>
        <rFont val="Times New Roman"/>
        <family val="1"/>
      </rPr>
      <t xml:space="preserve"> 1</t>
    </r>
  </si>
  <si>
    <r>
      <t>方案</t>
    </r>
    <r>
      <rPr>
        <sz val="10"/>
        <color theme="1"/>
        <rFont val="Times New Roman"/>
        <family val="1"/>
      </rPr>
      <t xml:space="preserve"> 2</t>
    </r>
  </si>
  <si>
    <r>
      <t>方案</t>
    </r>
    <r>
      <rPr>
        <sz val="10"/>
        <color theme="1"/>
        <rFont val="Times New Roman"/>
        <family val="1"/>
      </rPr>
      <t xml:space="preserve"> 3</t>
    </r>
  </si>
  <si>
    <r>
      <t>方案</t>
    </r>
    <r>
      <rPr>
        <sz val="10"/>
        <color theme="1"/>
        <rFont val="Times New Roman"/>
        <family val="1"/>
      </rPr>
      <t>1</t>
    </r>
  </si>
  <si>
    <r>
      <t>方案</t>
    </r>
    <r>
      <rPr>
        <sz val="10"/>
        <color theme="1"/>
        <rFont val="Times New Roman"/>
        <family val="1"/>
      </rPr>
      <t>2</t>
    </r>
  </si>
  <si>
    <r>
      <t>IRR</t>
    </r>
    <r>
      <rPr>
        <sz val="12"/>
        <color theme="1"/>
        <rFont val="新細明體"/>
        <family val="1"/>
        <charset val="136"/>
      </rPr>
      <t>會有哪些缺點？有什麼解決之道？</t>
    </r>
  </si>
  <si>
    <r>
      <t>計畫</t>
    </r>
    <r>
      <rPr>
        <sz val="10"/>
        <color theme="1"/>
        <rFont val="Times New Roman"/>
        <family val="1"/>
      </rPr>
      <t>1</t>
    </r>
  </si>
  <si>
    <r>
      <t>計畫</t>
    </r>
    <r>
      <rPr>
        <sz val="10"/>
        <color theme="1"/>
        <rFont val="Times New Roman"/>
        <family val="1"/>
      </rPr>
      <t>2</t>
    </r>
  </si>
  <si>
    <r>
      <t>計畫</t>
    </r>
    <r>
      <rPr>
        <sz val="10"/>
        <color theme="1"/>
        <rFont val="Times New Roman"/>
        <family val="1"/>
      </rPr>
      <t>3</t>
    </r>
  </si>
  <si>
    <r>
      <t xml:space="preserve">PART 1  </t>
    </r>
    <r>
      <rPr>
        <sz val="10"/>
        <color theme="1"/>
        <rFont val="新細明體"/>
        <family val="1"/>
        <charset val="136"/>
      </rPr>
      <t>整理已知數據</t>
    </r>
    <r>
      <rPr>
        <sz val="10"/>
        <color theme="1"/>
        <rFont val="Times New Roman"/>
        <family val="1"/>
      </rPr>
      <t xml:space="preserve">  (</t>
    </r>
    <r>
      <rPr>
        <sz val="10"/>
        <color theme="1"/>
        <rFont val="新細明體"/>
        <family val="1"/>
        <charset val="136"/>
      </rPr>
      <t>金額單位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新細明體"/>
        <family val="1"/>
        <charset val="136"/>
      </rPr>
      <t>：千元</t>
    </r>
    <r>
      <rPr>
        <sz val="10"/>
        <color theme="1"/>
        <rFont val="Times New Roman"/>
        <family val="1"/>
      </rPr>
      <t>)</t>
    </r>
  </si>
  <si>
    <t>設備成本</t>
  </si>
  <si>
    <r>
      <t>機器於</t>
    </r>
    <r>
      <rPr>
        <sz val="10"/>
        <color theme="1"/>
        <rFont val="Times New Roman"/>
        <family val="1"/>
      </rPr>
      <t>2005</t>
    </r>
    <r>
      <rPr>
        <sz val="10"/>
        <color theme="1"/>
        <rFont val="新細明體"/>
        <family val="1"/>
        <charset val="136"/>
      </rPr>
      <t>年之市價</t>
    </r>
  </si>
  <si>
    <t>淨營運資金增額</t>
  </si>
  <si>
    <t>稅率</t>
  </si>
  <si>
    <t>第一年銷售數量</t>
  </si>
  <si>
    <t>WACC</t>
  </si>
  <si>
    <t>單位售價</t>
  </si>
  <si>
    <t>單位變動成本</t>
  </si>
  <si>
    <t>固定成本</t>
  </si>
  <si>
    <r>
      <t xml:space="preserve">PART 2  </t>
    </r>
    <r>
      <rPr>
        <sz val="10"/>
        <color theme="1"/>
        <rFont val="新細明體"/>
        <family val="1"/>
        <charset val="136"/>
      </rPr>
      <t>折舊攤銷表</t>
    </r>
    <r>
      <rPr>
        <sz val="10"/>
        <color theme="1"/>
        <rFont val="Times New Roman"/>
        <family val="1"/>
      </rPr>
      <t xml:space="preserve">  (</t>
    </r>
    <r>
      <rPr>
        <sz val="10"/>
        <color theme="1"/>
        <rFont val="新細明體"/>
        <family val="1"/>
        <charset val="136"/>
      </rPr>
      <t>金額單位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新細明體"/>
        <family val="1"/>
        <charset val="136"/>
      </rPr>
      <t>：千元</t>
    </r>
    <r>
      <rPr>
        <sz val="10"/>
        <color theme="1"/>
        <rFont val="Times New Roman"/>
        <family val="1"/>
      </rPr>
      <t>)</t>
    </r>
  </si>
  <si>
    <t>期初成本</t>
  </si>
  <si>
    <t>累積折舊</t>
  </si>
  <si>
    <t>機器折舊比率</t>
  </si>
  <si>
    <t>機器折舊金額</t>
  </si>
  <si>
    <t>期末帳面價值</t>
  </si>
  <si>
    <r>
      <t xml:space="preserve">PART 3  </t>
    </r>
    <r>
      <rPr>
        <sz val="10"/>
        <color theme="1"/>
        <rFont val="新細明體"/>
        <family val="1"/>
        <charset val="136"/>
      </rPr>
      <t>淨殘值，</t>
    </r>
    <r>
      <rPr>
        <sz val="10"/>
        <color theme="1"/>
        <rFont val="Times New Roman"/>
        <family val="1"/>
      </rPr>
      <t>2005</t>
    </r>
    <r>
      <rPr>
        <sz val="10"/>
        <color theme="1"/>
        <rFont val="新細明體"/>
        <family val="1"/>
        <charset val="136"/>
      </rPr>
      <t>年</t>
    </r>
    <r>
      <rPr>
        <sz val="10"/>
        <color theme="1"/>
        <rFont val="Times New Roman"/>
        <family val="1"/>
      </rPr>
      <t xml:space="preserve">  (</t>
    </r>
    <r>
      <rPr>
        <sz val="10"/>
        <color theme="1"/>
        <rFont val="新細明體"/>
        <family val="1"/>
        <charset val="136"/>
      </rPr>
      <t>金額單位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新細明體"/>
        <family val="1"/>
        <charset val="136"/>
      </rPr>
      <t>：千元</t>
    </r>
    <r>
      <rPr>
        <sz val="10"/>
        <color theme="1"/>
        <rFont val="Times New Roman"/>
        <family val="1"/>
      </rPr>
      <t>)</t>
    </r>
  </si>
  <si>
    <r>
      <t>2005</t>
    </r>
    <r>
      <rPr>
        <sz val="10"/>
        <color theme="1"/>
        <rFont val="新細明體"/>
        <family val="1"/>
        <charset val="136"/>
      </rPr>
      <t>年之帳面價值</t>
    </r>
  </si>
  <si>
    <t>預期利得或損失</t>
  </si>
  <si>
    <t>稅負</t>
  </si>
  <si>
    <t>淨殘值</t>
  </si>
  <si>
    <r>
      <t xml:space="preserve">PART 4  </t>
    </r>
    <r>
      <rPr>
        <sz val="10"/>
        <color theme="1"/>
        <rFont val="新細明體"/>
        <family val="1"/>
        <charset val="136"/>
      </rPr>
      <t>方案的淨現金流量</t>
    </r>
    <r>
      <rPr>
        <sz val="10"/>
        <color theme="1"/>
        <rFont val="Times New Roman"/>
        <family val="1"/>
      </rPr>
      <t xml:space="preserve">  (</t>
    </r>
    <r>
      <rPr>
        <sz val="10"/>
        <color theme="1"/>
        <rFont val="新細明體"/>
        <family val="1"/>
        <charset val="136"/>
      </rPr>
      <t>金額單位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新細明體"/>
        <family val="1"/>
        <charset val="136"/>
      </rPr>
      <t>：千元</t>
    </r>
    <r>
      <rPr>
        <sz val="10"/>
        <color theme="1"/>
        <rFont val="Times New Roman"/>
        <family val="1"/>
      </rPr>
      <t>)</t>
    </r>
  </si>
  <si>
    <t>期初現金流量</t>
  </si>
  <si>
    <t>增額淨營運資金</t>
  </si>
  <si>
    <t>營運現金流量</t>
  </si>
  <si>
    <t>銷售數量</t>
  </si>
  <si>
    <t>銷售價格</t>
  </si>
  <si>
    <t>銷售額</t>
  </si>
  <si>
    <t>變動成本</t>
  </si>
  <si>
    <t>折舊</t>
  </si>
  <si>
    <r>
      <t>稅前營運收入</t>
    </r>
    <r>
      <rPr>
        <sz val="10"/>
        <color theme="1"/>
        <rFont val="Times New Roman"/>
        <family val="1"/>
      </rPr>
      <t>(EBIT)</t>
    </r>
  </si>
  <si>
    <r>
      <t>稅負</t>
    </r>
    <r>
      <rPr>
        <sz val="10"/>
        <color theme="1"/>
        <rFont val="Times New Roman"/>
        <family val="1"/>
      </rPr>
      <t>(40%)</t>
    </r>
  </si>
  <si>
    <t>稅後營運淨利</t>
  </si>
  <si>
    <t>加回：折舊</t>
  </si>
  <si>
    <t>期終現金流量</t>
  </si>
  <si>
    <t>淨營運資金回收額</t>
  </si>
  <si>
    <t>期終現金流量總額</t>
  </si>
  <si>
    <t>淨現金流量</t>
  </si>
  <si>
    <r>
      <t>計畫</t>
    </r>
    <r>
      <rPr>
        <sz val="11"/>
        <color theme="1"/>
        <rFont val="Times New Roman"/>
        <family val="1"/>
      </rPr>
      <t>A</t>
    </r>
  </si>
  <si>
    <r>
      <t>計畫</t>
    </r>
    <r>
      <rPr>
        <sz val="11"/>
        <color theme="1"/>
        <rFont val="Times New Roman"/>
        <family val="1"/>
      </rPr>
      <t>B</t>
    </r>
  </si>
  <si>
    <t>NPV</t>
    <phoneticPr fontId="1" type="noConversion"/>
  </si>
  <si>
    <t>R=</t>
    <phoneticPr fontId="1" type="noConversion"/>
  </si>
  <si>
    <t>NPV=</t>
    <phoneticPr fontId="1" type="noConversion"/>
  </si>
  <si>
    <t>折現率</t>
    <phoneticPr fontId="1" type="noConversion"/>
  </si>
  <si>
    <t>折現率=</t>
    <phoneticPr fontId="1" type="noConversion"/>
  </si>
  <si>
    <t>方案1</t>
    <phoneticPr fontId="9" type="noConversion"/>
  </si>
  <si>
    <t>方案2</t>
    <phoneticPr fontId="9" type="noConversion"/>
  </si>
  <si>
    <t>方案3</t>
  </si>
  <si>
    <t>NPV</t>
    <phoneticPr fontId="9" type="noConversion"/>
  </si>
  <si>
    <t>IRR</t>
    <phoneticPr fontId="9" type="noConversion"/>
  </si>
  <si>
    <t>折現率®</t>
    <phoneticPr fontId="9" type="noConversion"/>
  </si>
  <si>
    <t>NPV</t>
    <phoneticPr fontId="9" type="noConversion"/>
  </si>
  <si>
    <r>
      <t>方案</t>
    </r>
    <r>
      <rPr>
        <b/>
        <sz val="10"/>
        <rFont val="Times New Roman"/>
        <family val="1"/>
      </rPr>
      <t xml:space="preserve"> </t>
    </r>
    <r>
      <rPr>
        <b/>
        <sz val="10"/>
        <rFont val="新細明體"/>
        <family val="1"/>
        <charset val="136"/>
      </rPr>
      <t>2</t>
    </r>
    <phoneticPr fontId="9" type="noConversion"/>
  </si>
  <si>
    <t>重置一次</t>
    <phoneticPr fontId="9" type="noConversion"/>
  </si>
  <si>
    <t>重置二次</t>
    <phoneticPr fontId="9" type="noConversion"/>
  </si>
  <si>
    <t>重置三次</t>
    <phoneticPr fontId="9" type="noConversion"/>
  </si>
  <si>
    <t>重置四次</t>
    <phoneticPr fontId="9" type="noConversion"/>
  </si>
  <si>
    <t>重置五次</t>
    <phoneticPr fontId="9" type="noConversion"/>
  </si>
  <si>
    <t>重置六次</t>
    <phoneticPr fontId="9" type="noConversion"/>
  </si>
  <si>
    <t>淨現金流量</t>
    <phoneticPr fontId="9" type="noConversion"/>
  </si>
  <si>
    <r>
      <t>方案</t>
    </r>
    <r>
      <rPr>
        <b/>
        <sz val="10"/>
        <rFont val="Times New Roman"/>
        <family val="1"/>
      </rPr>
      <t xml:space="preserve"> </t>
    </r>
    <r>
      <rPr>
        <b/>
        <sz val="10"/>
        <rFont val="新細明體"/>
        <family val="1"/>
        <charset val="136"/>
      </rPr>
      <t>3</t>
    </r>
    <phoneticPr fontId="9" type="noConversion"/>
  </si>
  <si>
    <t>重置一次</t>
    <phoneticPr fontId="9" type="noConversion"/>
  </si>
  <si>
    <t>重置二次</t>
    <phoneticPr fontId="9" type="noConversion"/>
  </si>
  <si>
    <t>重置三次</t>
    <phoneticPr fontId="9" type="noConversion"/>
  </si>
  <si>
    <t>重置後</t>
    <phoneticPr fontId="9" type="noConversion"/>
  </si>
  <si>
    <t>方案2</t>
    <phoneticPr fontId="9" type="noConversion"/>
  </si>
  <si>
    <t>方案3</t>
    <phoneticPr fontId="9" type="noConversion"/>
  </si>
  <si>
    <t>IRR</t>
    <phoneticPr fontId="9" type="noConversion"/>
  </si>
  <si>
    <t>期數</t>
    <phoneticPr fontId="9" type="noConversion"/>
  </si>
  <si>
    <t>EAA</t>
    <phoneticPr fontId="9" type="noConversion"/>
  </si>
  <si>
    <t>折現率</t>
    <phoneticPr fontId="9" type="noConversion"/>
  </si>
  <si>
    <t>方案1</t>
    <phoneticPr fontId="9" type="noConversion"/>
  </si>
  <si>
    <t>我們應該選擇淨現值比較高的投資計畫或IRR值比較大的計劃,依照這個準則,方案2是比較好的選擇</t>
  </si>
  <si>
    <t>IRR是會使NPV=0的那個折現率,和NPV有密切相關,通常會導致一致的決策,如本例在某些特殊的例子裡,像是非傳統的現金流量的情況下,兩法可能會導致不同的結果</t>
  </si>
  <si>
    <t>計畫1</t>
    <phoneticPr fontId="9" type="noConversion"/>
  </si>
  <si>
    <t>計畫2</t>
    <phoneticPr fontId="9" type="noConversion"/>
  </si>
  <si>
    <t>計畫3</t>
  </si>
  <si>
    <t>r</t>
    <phoneticPr fontId="9" type="noConversion"/>
  </si>
  <si>
    <t>NPV</t>
    <phoneticPr fontId="9" type="noConversion"/>
  </si>
  <si>
    <t>期間</t>
    <phoneticPr fontId="9" type="noConversion"/>
  </si>
  <si>
    <t>計劃1</t>
    <phoneticPr fontId="9" type="noConversion"/>
  </si>
  <si>
    <t>淨現金流量</t>
    <phoneticPr fontId="9" type="noConversion"/>
  </si>
  <si>
    <t>計劃2</t>
    <phoneticPr fontId="9" type="noConversion"/>
  </si>
  <si>
    <t>重置三次</t>
    <phoneticPr fontId="9" type="noConversion"/>
  </si>
  <si>
    <t>重置四次</t>
    <phoneticPr fontId="9" type="noConversion"/>
  </si>
  <si>
    <t>重置五次</t>
    <phoneticPr fontId="9" type="noConversion"/>
  </si>
  <si>
    <t>重置六次</t>
    <phoneticPr fontId="9" type="noConversion"/>
  </si>
  <si>
    <t>重置七次</t>
    <phoneticPr fontId="9" type="noConversion"/>
  </si>
  <si>
    <t>期間</t>
    <phoneticPr fontId="9" type="noConversion"/>
  </si>
</sst>
</file>

<file path=xl/styles.xml><?xml version="1.0" encoding="utf-8"?>
<styleSheet xmlns="http://schemas.openxmlformats.org/spreadsheetml/2006/main">
  <numFmts count="8">
    <numFmt numFmtId="6" formatCode="&quot;$&quot;#,##0;[Red]\-&quot;$&quot;#,##0"/>
    <numFmt numFmtId="8" formatCode="&quot;$&quot;#,##0.00;[Red]\-&quot;$&quot;#,##0.00"/>
    <numFmt numFmtId="180" formatCode="#,##0.00_ "/>
    <numFmt numFmtId="181" formatCode="#,##0.00_ ;[Red]\-#,##0.00\ "/>
    <numFmt numFmtId="182" formatCode="0.00_);[Red]\(0.00\)"/>
    <numFmt numFmtId="183" formatCode="0.00_ "/>
    <numFmt numFmtId="184" formatCode="0_);\(0\)"/>
    <numFmt numFmtId="185" formatCode="0.00_);\(0.00\)"/>
  </numFmts>
  <fonts count="1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Times New Roman"/>
      <family val="1"/>
    </font>
    <font>
      <sz val="12"/>
      <color theme="1"/>
      <name val="新細明體"/>
      <family val="1"/>
      <charset val="136"/>
    </font>
    <font>
      <sz val="10"/>
      <color theme="1"/>
      <name val="新細明體"/>
      <family val="1"/>
      <charset val="136"/>
    </font>
    <font>
      <sz val="10"/>
      <color theme="1"/>
      <name val="Times New Roman"/>
      <family val="1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b/>
      <sz val="10"/>
      <name val="新細明體"/>
      <family val="1"/>
      <charset val="136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3" fillId="0" borderId="1" xfId="0" applyFont="1" applyBorder="1" applyAlignment="1"/>
    <xf numFmtId="0" fontId="2" fillId="0" borderId="1" xfId="0" applyFont="1" applyBorder="1" applyAlignment="1">
      <alignment horizontal="right"/>
    </xf>
    <xf numFmtId="0" fontId="2" fillId="0" borderId="1" xfId="0" applyFont="1" applyBorder="1" applyAlignment="1"/>
    <xf numFmtId="0" fontId="3" fillId="0" borderId="2" xfId="0" applyFont="1" applyBorder="1" applyAlignment="1"/>
    <xf numFmtId="0" fontId="2" fillId="0" borderId="3" xfId="0" applyFont="1" applyBorder="1" applyAlignment="1">
      <alignment horizontal="right"/>
    </xf>
    <xf numFmtId="0" fontId="3" fillId="0" borderId="4" xfId="0" applyFont="1" applyBorder="1" applyAlignment="1"/>
    <xf numFmtId="0" fontId="2" fillId="0" borderId="5" xfId="0" applyFont="1" applyBorder="1" applyAlignment="1">
      <alignment horizontal="right"/>
    </xf>
    <xf numFmtId="0" fontId="2" fillId="0" borderId="4" xfId="0" applyFont="1" applyBorder="1" applyAlignment="1"/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2" xfId="0" applyFont="1" applyBorder="1" applyAlignment="1"/>
    <xf numFmtId="0" fontId="5" fillId="0" borderId="3" xfId="0" applyFont="1" applyBorder="1" applyAlignment="1">
      <alignment horizontal="right"/>
    </xf>
    <xf numFmtId="0" fontId="4" fillId="0" borderId="4" xfId="0" applyFont="1" applyBorder="1" applyAlignment="1"/>
    <xf numFmtId="0" fontId="5" fillId="0" borderId="5" xfId="0" applyFont="1" applyBorder="1" applyAlignment="1">
      <alignment horizontal="right"/>
    </xf>
    <xf numFmtId="0" fontId="4" fillId="0" borderId="5" xfId="0" applyFont="1" applyBorder="1" applyAlignment="1"/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0" borderId="3" xfId="0" applyFont="1" applyBorder="1" applyAlignment="1"/>
    <xf numFmtId="6" fontId="5" fillId="0" borderId="5" xfId="0" applyNumberFormat="1" applyFont="1" applyBorder="1" applyAlignment="1">
      <alignment horizontal="right"/>
    </xf>
    <xf numFmtId="0" fontId="4" fillId="0" borderId="5" xfId="0" applyFont="1" applyBorder="1" applyAlignment="1">
      <alignment horizontal="justify" vertical="center"/>
    </xf>
    <xf numFmtId="9" fontId="5" fillId="0" borderId="5" xfId="0" applyNumberFormat="1" applyFont="1" applyBorder="1" applyAlignment="1">
      <alignment horizontal="right" vertical="center"/>
    </xf>
    <xf numFmtId="3" fontId="5" fillId="0" borderId="5" xfId="0" applyNumberFormat="1" applyFont="1" applyBorder="1" applyAlignment="1">
      <alignment horizontal="right"/>
    </xf>
    <xf numFmtId="8" fontId="5" fillId="0" borderId="5" xfId="0" applyNumberFormat="1" applyFont="1" applyBorder="1" applyAlignment="1">
      <alignment horizontal="right"/>
    </xf>
    <xf numFmtId="0" fontId="4" fillId="0" borderId="4" xfId="0" applyFont="1" applyBorder="1" applyAlignment="1">
      <alignment horizontal="justify" vertical="center"/>
    </xf>
    <xf numFmtId="0" fontId="5" fillId="0" borderId="5" xfId="0" applyFont="1" applyBorder="1" applyAlignment="1">
      <alignment horizontal="center" vertical="center"/>
    </xf>
    <xf numFmtId="9" fontId="5" fillId="0" borderId="5" xfId="0" applyNumberFormat="1" applyFont="1" applyBorder="1" applyAlignment="1">
      <alignment horizontal="right"/>
    </xf>
    <xf numFmtId="0" fontId="5" fillId="0" borderId="5" xfId="0" applyFont="1" applyBorder="1" applyAlignment="1">
      <alignment horizontal="right" vertical="center"/>
    </xf>
    <xf numFmtId="6" fontId="5" fillId="0" borderId="5" xfId="0" applyNumberFormat="1" applyFont="1" applyBorder="1" applyAlignment="1">
      <alignment horizontal="right" vertical="center"/>
    </xf>
    <xf numFmtId="6" fontId="5" fillId="0" borderId="5" xfId="0" applyNumberFormat="1" applyFont="1" applyBorder="1" applyAlignment="1">
      <alignment horizontal="justify" vertical="center"/>
    </xf>
    <xf numFmtId="3" fontId="5" fillId="0" borderId="5" xfId="0" applyNumberFormat="1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center" vertical="center"/>
    </xf>
    <xf numFmtId="0" fontId="6" fillId="0" borderId="2" xfId="0" applyFont="1" applyBorder="1" applyAlignment="1"/>
    <xf numFmtId="0" fontId="6" fillId="0" borderId="3" xfId="0" applyFont="1" applyBorder="1" applyAlignment="1"/>
    <xf numFmtId="0" fontId="7" fillId="0" borderId="3" xfId="0" applyFont="1" applyBorder="1" applyAlignment="1">
      <alignment horizontal="right"/>
    </xf>
    <xf numFmtId="0" fontId="6" fillId="0" borderId="4" xfId="0" applyFont="1" applyBorder="1" applyAlignment="1"/>
    <xf numFmtId="0" fontId="6" fillId="0" borderId="5" xfId="0" applyFont="1" applyBorder="1" applyAlignment="1"/>
    <xf numFmtId="4" fontId="7" fillId="0" borderId="5" xfId="0" applyNumberFormat="1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4" fillId="0" borderId="6" xfId="0" applyFont="1" applyBorder="1" applyAlignment="1"/>
    <xf numFmtId="0" fontId="4" fillId="0" borderId="3" xfId="0" applyFont="1" applyBorder="1" applyAlignment="1"/>
    <xf numFmtId="0" fontId="5" fillId="0" borderId="6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6" xfId="0" applyFont="1" applyBorder="1" applyAlignment="1"/>
    <xf numFmtId="0" fontId="5" fillId="0" borderId="3" xfId="0" applyFont="1" applyBorder="1" applyAlignment="1"/>
    <xf numFmtId="0" fontId="4" fillId="0" borderId="6" xfId="0" applyFont="1" applyBorder="1" applyAlignment="1">
      <alignment horizontal="right"/>
    </xf>
    <xf numFmtId="0" fontId="4" fillId="0" borderId="3" xfId="0" applyFont="1" applyBorder="1" applyAlignment="1">
      <alignment horizontal="right"/>
    </xf>
    <xf numFmtId="9" fontId="0" fillId="0" borderId="0" xfId="0" applyNumberFormat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>
      <alignment vertical="center"/>
    </xf>
    <xf numFmtId="182" fontId="10" fillId="2" borderId="8" xfId="0" applyNumberFormat="1" applyFont="1" applyFill="1" applyBorder="1" applyAlignment="1">
      <alignment horizontal="center" vertical="center"/>
    </xf>
    <xf numFmtId="10" fontId="10" fillId="2" borderId="8" xfId="0" applyNumberFormat="1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9" fontId="10" fillId="2" borderId="8" xfId="0" applyNumberFormat="1" applyFont="1" applyFill="1" applyBorder="1" applyAlignment="1">
      <alignment horizontal="center" vertical="center"/>
    </xf>
    <xf numFmtId="183" fontId="10" fillId="2" borderId="8" xfId="0" applyNumberFormat="1" applyFont="1" applyFill="1" applyBorder="1" applyAlignment="1">
      <alignment horizontal="center" vertical="center"/>
    </xf>
    <xf numFmtId="184" fontId="8" fillId="2" borderId="8" xfId="0" applyNumberFormat="1" applyFont="1" applyFill="1" applyBorder="1">
      <alignment vertical="center"/>
    </xf>
    <xf numFmtId="0" fontId="10" fillId="2" borderId="8" xfId="0" applyFont="1" applyFill="1" applyBorder="1">
      <alignment vertical="center"/>
    </xf>
    <xf numFmtId="184" fontId="10" fillId="2" borderId="8" xfId="0" applyNumberFormat="1" applyFont="1" applyFill="1" applyBorder="1">
      <alignment vertical="center"/>
    </xf>
    <xf numFmtId="185" fontId="10" fillId="2" borderId="8" xfId="0" applyNumberFormat="1" applyFont="1" applyFill="1" applyBorder="1" applyAlignment="1">
      <alignment horizontal="center" vertical="center"/>
    </xf>
    <xf numFmtId="182" fontId="10" fillId="2" borderId="8" xfId="0" applyNumberFormat="1" applyFont="1" applyFill="1" applyBorder="1">
      <alignment vertical="center"/>
    </xf>
    <xf numFmtId="8" fontId="10" fillId="2" borderId="8" xfId="0" applyNumberFormat="1" applyFont="1" applyFill="1" applyBorder="1">
      <alignment vertical="center"/>
    </xf>
    <xf numFmtId="0" fontId="8" fillId="2" borderId="9" xfId="0" applyFont="1" applyFill="1" applyBorder="1">
      <alignment vertical="center"/>
    </xf>
    <xf numFmtId="9" fontId="8" fillId="2" borderId="10" xfId="0" applyNumberFormat="1" applyFont="1" applyFill="1" applyBorder="1">
      <alignment vertical="center"/>
    </xf>
    <xf numFmtId="9" fontId="10" fillId="2" borderId="8" xfId="0" applyNumberFormat="1" applyFont="1" applyFill="1" applyBorder="1">
      <alignment vertical="center"/>
    </xf>
    <xf numFmtId="9" fontId="8" fillId="2" borderId="8" xfId="0" applyNumberFormat="1" applyFont="1" applyFill="1" applyBorder="1">
      <alignment vertical="center"/>
    </xf>
    <xf numFmtId="10" fontId="10" fillId="2" borderId="8" xfId="0" applyNumberFormat="1" applyFont="1" applyFill="1" applyBorder="1">
      <alignment vertical="center"/>
    </xf>
    <xf numFmtId="181" fontId="10" fillId="2" borderId="8" xfId="0" applyNumberFormat="1" applyFont="1" applyFill="1" applyBorder="1">
      <alignment vertical="center"/>
    </xf>
    <xf numFmtId="0" fontId="8" fillId="2" borderId="8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183" fontId="10" fillId="2" borderId="8" xfId="0" applyNumberFormat="1" applyFont="1" applyFill="1" applyBorder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scatterChart>
        <c:scatterStyle val="smoothMarker"/>
        <c:ser>
          <c:idx val="0"/>
          <c:order val="0"/>
          <c:xVal>
            <c:numRef>
              <c:f>'E2'!$B$24:$B$31</c:f>
              <c:numCache>
                <c:formatCode>0%</c:formatCode>
                <c:ptCount val="8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</c:numCache>
            </c:numRef>
          </c:xVal>
          <c:yVal>
            <c:numRef>
              <c:f>'E2'!$C$24:$C$31</c:f>
              <c:numCache>
                <c:formatCode>#,##0.00_ ;[Red]\-#,##0.00\ </c:formatCode>
                <c:ptCount val="8"/>
                <c:pt idx="0">
                  <c:v>35.457436418182624</c:v>
                </c:pt>
                <c:pt idx="1">
                  <c:v>26.796119826525128</c:v>
                </c:pt>
                <c:pt idx="2">
                  <c:v>18.916695259554103</c:v>
                </c:pt>
                <c:pt idx="3">
                  <c:v>11.732804805271911</c:v>
                </c:pt>
                <c:pt idx="4">
                  <c:v>5.1691700144674257</c:v>
                </c:pt>
                <c:pt idx="5">
                  <c:v>-0.84001254360164523</c:v>
                </c:pt>
                <c:pt idx="6">
                  <c:v>-6.3524184099375844</c:v>
                </c:pt>
                <c:pt idx="7">
                  <c:v>-11.4187301257477</c:v>
                </c:pt>
              </c:numCache>
            </c:numRef>
          </c:yVal>
          <c:smooth val="1"/>
        </c:ser>
        <c:axId val="153345408"/>
        <c:axId val="153341952"/>
      </c:scatterChart>
      <c:valAx>
        <c:axId val="153345408"/>
        <c:scaling>
          <c:orientation val="minMax"/>
        </c:scaling>
        <c:axPos val="b"/>
        <c:numFmt formatCode="0%" sourceLinked="1"/>
        <c:tickLblPos val="nextTo"/>
        <c:crossAx val="153341952"/>
        <c:crosses val="autoZero"/>
        <c:crossBetween val="midCat"/>
      </c:valAx>
      <c:valAx>
        <c:axId val="153341952"/>
        <c:scaling>
          <c:orientation val="minMax"/>
        </c:scaling>
        <c:axPos val="l"/>
        <c:majorGridlines/>
        <c:numFmt formatCode="#,##0.00_ ;[Red]\-#,##0.00\ " sourceLinked="1"/>
        <c:tickLblPos val="nextTo"/>
        <c:crossAx val="1533454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scatterChart>
        <c:scatterStyle val="smoothMarker"/>
        <c:ser>
          <c:idx val="0"/>
          <c:order val="0"/>
          <c:xVal>
            <c:numRef>
              <c:f>'E5'!$J$19:$J$30</c:f>
              <c:numCache>
                <c:formatCode>0%</c:formatCode>
                <c:ptCount val="12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</c:numCache>
            </c:numRef>
          </c:xVal>
          <c:yVal>
            <c:numRef>
              <c:f>'E5'!$K$19:$K$30</c:f>
              <c:numCache>
                <c:formatCode>0.00_ </c:formatCode>
                <c:ptCount val="12"/>
                <c:pt idx="0">
                  <c:v>1597.7937801607322</c:v>
                </c:pt>
                <c:pt idx="1">
                  <c:v>1113.1484810070724</c:v>
                </c:pt>
                <c:pt idx="2">
                  <c:v>719.42971656747523</c:v>
                </c:pt>
                <c:pt idx="3">
                  <c:v>396.65403261938354</c:v>
                </c:pt>
                <c:pt idx="4">
                  <c:v>129.70226176634105</c:v>
                </c:pt>
                <c:pt idx="5">
                  <c:v>-92.957942949799872</c:v>
                </c:pt>
                <c:pt idx="6">
                  <c:v>-280.19296413831876</c:v>
                </c:pt>
                <c:pt idx="7">
                  <c:v>-438.87227446852648</c:v>
                </c:pt>
                <c:pt idx="8">
                  <c:v>-574.3582834832614</c:v>
                </c:pt>
                <c:pt idx="9">
                  <c:v>-690.86766012642397</c:v>
                </c:pt>
                <c:pt idx="10">
                  <c:v>-791.7397910727193</c:v>
                </c:pt>
                <c:pt idx="11">
                  <c:v>-879.63765348521065</c:v>
                </c:pt>
              </c:numCache>
            </c:numRef>
          </c:yVal>
          <c:smooth val="1"/>
        </c:ser>
        <c:axId val="232137856"/>
        <c:axId val="232136064"/>
      </c:scatterChart>
      <c:valAx>
        <c:axId val="232137856"/>
        <c:scaling>
          <c:orientation val="minMax"/>
        </c:scaling>
        <c:axPos val="b"/>
        <c:numFmt formatCode="0%" sourceLinked="1"/>
        <c:tickLblPos val="nextTo"/>
        <c:crossAx val="232136064"/>
        <c:crosses val="autoZero"/>
        <c:crossBetween val="midCat"/>
      </c:valAx>
      <c:valAx>
        <c:axId val="232136064"/>
        <c:scaling>
          <c:orientation val="minMax"/>
        </c:scaling>
        <c:axPos val="l"/>
        <c:majorGridlines/>
        <c:numFmt formatCode="0.00_ " sourceLinked="1"/>
        <c:tickLblPos val="nextTo"/>
        <c:crossAx val="2321378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'E8'!$C$25:$C$34</c:f>
              <c:numCache>
                <c:formatCode>0%</c:formatCode>
                <c:ptCount val="1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</c:numCache>
            </c:numRef>
          </c:xVal>
          <c:yVal>
            <c:numRef>
              <c:f>'E8'!$D$25:$D$34</c:f>
              <c:numCache>
                <c:formatCode>#,##0.00_ ;[Red]\-#,##0.00\ </c:formatCode>
                <c:ptCount val="10"/>
                <c:pt idx="0">
                  <c:v>989.24742406053383</c:v>
                </c:pt>
                <c:pt idx="1">
                  <c:v>711.36824608495999</c:v>
                </c:pt>
                <c:pt idx="2">
                  <c:v>469.59824641897649</c:v>
                </c:pt>
                <c:pt idx="3">
                  <c:v>258.37100404567218</c:v>
                </c:pt>
                <c:pt idx="4">
                  <c:v>73.085590048400263</c:v>
                </c:pt>
                <c:pt idx="5">
                  <c:v>-90.077114197089031</c:v>
                </c:pt>
                <c:pt idx="6">
                  <c:v>-234.30034825535563</c:v>
                </c:pt>
                <c:pt idx="7">
                  <c:v>-362.2479485912429</c:v>
                </c:pt>
                <c:pt idx="8">
                  <c:v>-476.15773047315338</c:v>
                </c:pt>
                <c:pt idx="9">
                  <c:v>-577.91667857415018</c:v>
                </c:pt>
              </c:numCache>
            </c:numRef>
          </c:yVal>
          <c:smooth val="1"/>
        </c:ser>
        <c:axId val="228192640"/>
        <c:axId val="153340160"/>
      </c:scatterChart>
      <c:valAx>
        <c:axId val="228192640"/>
        <c:scaling>
          <c:orientation val="minMax"/>
        </c:scaling>
        <c:axPos val="b"/>
        <c:numFmt formatCode="0%" sourceLinked="1"/>
        <c:tickLblPos val="nextTo"/>
        <c:crossAx val="153340160"/>
        <c:crosses val="autoZero"/>
        <c:crossBetween val="midCat"/>
      </c:valAx>
      <c:valAx>
        <c:axId val="153340160"/>
        <c:scaling>
          <c:orientation val="minMax"/>
        </c:scaling>
        <c:axPos val="l"/>
        <c:majorGridlines/>
        <c:numFmt formatCode="#,##0.00_ ;[Red]\-#,##0.00\ " sourceLinked="1"/>
        <c:tickLblPos val="nextTo"/>
        <c:crossAx val="2281926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200025</xdr:rowOff>
    </xdr:from>
    <xdr:to>
      <xdr:col>7</xdr:col>
      <xdr:colOff>342900</xdr:colOff>
      <xdr:row>8</xdr:row>
      <xdr:rowOff>9525</xdr:rowOff>
    </xdr:to>
    <xdr:sp macro="" textlink="">
      <xdr:nvSpPr>
        <xdr:cNvPr id="2" name="文字方塊 1"/>
        <xdr:cNvSpPr txBox="1"/>
      </xdr:nvSpPr>
      <xdr:spPr>
        <a:xfrm>
          <a:off x="685800" y="200025"/>
          <a:ext cx="4457700" cy="1485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1.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(1).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使用回收期間法，折現後回收期間法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, NPV, IRR, PI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等來評估是否應該接受下列方案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(2).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用各種不同評估方法將下列方案由優而劣排序，並說明你的發現。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(3).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假設第七和第八的方案是互斥方案，使用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 MIRR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法和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EAA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法來評估這兩個方案。</a:t>
          </a:r>
        </a:p>
        <a:p>
          <a:endParaRPr lang="zh-TW" altLang="en-US" sz="12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69686</xdr:colOff>
      <xdr:row>1</xdr:row>
      <xdr:rowOff>197250</xdr:rowOff>
    </xdr:to>
    <xdr:pic macro="[0]!Spreadsheetchapter3"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864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200025</xdr:rowOff>
    </xdr:from>
    <xdr:to>
      <xdr:col>7</xdr:col>
      <xdr:colOff>676275</xdr:colOff>
      <xdr:row>6</xdr:row>
      <xdr:rowOff>142875</xdr:rowOff>
    </xdr:to>
    <xdr:sp macro="" textlink="">
      <xdr:nvSpPr>
        <xdr:cNvPr id="2" name="文字方塊 1"/>
        <xdr:cNvSpPr txBox="1"/>
      </xdr:nvSpPr>
      <xdr:spPr>
        <a:xfrm>
          <a:off x="685800" y="200025"/>
          <a:ext cx="4791075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2. 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下表為某專案的現金流量，假設折現率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r=10%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。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(1).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求算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。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(2).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又當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r=2%, 4%, 6%, 8%, 10%, 12%, 14%,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或是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16%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時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各是多少？並請畫圖且說明您的觀察。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(3).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當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NPV=15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時，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r=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？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69686</xdr:colOff>
      <xdr:row>1</xdr:row>
      <xdr:rowOff>197250</xdr:rowOff>
    </xdr:to>
    <xdr:pic macro="[0]!Spreadsheetchapter3"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864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  <xdr:twoCellAnchor>
    <xdr:from>
      <xdr:col>3</xdr:col>
      <xdr:colOff>647700</xdr:colOff>
      <xdr:row>15</xdr:row>
      <xdr:rowOff>190500</xdr:rowOff>
    </xdr:from>
    <xdr:to>
      <xdr:col>10</xdr:col>
      <xdr:colOff>419100</xdr:colOff>
      <xdr:row>29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</xdr:row>
      <xdr:rowOff>9525</xdr:rowOff>
    </xdr:from>
    <xdr:to>
      <xdr:col>9</xdr:col>
      <xdr:colOff>133350</xdr:colOff>
      <xdr:row>27</xdr:row>
      <xdr:rowOff>95250</xdr:rowOff>
    </xdr:to>
    <xdr:sp macro="" textlink="">
      <xdr:nvSpPr>
        <xdr:cNvPr id="2" name="文字方塊 1"/>
        <xdr:cNvSpPr txBox="1"/>
      </xdr:nvSpPr>
      <xdr:spPr>
        <a:xfrm>
          <a:off x="676274" y="219075"/>
          <a:ext cx="5629276" cy="5534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3.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     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(1).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利用規劃求解來求解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      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(2).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利用規劃求解解聯立方程式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提示，以其中一條式子為目標式，其餘都為限制式，求解未知數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X,Y,Z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及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。</a:t>
          </a:r>
        </a:p>
        <a:p>
          <a:endParaRPr lang="zh-TW" altLang="en-US" sz="1200"/>
        </a:p>
      </xdr:txBody>
    </xdr:sp>
    <xdr:clientData/>
  </xdr:twoCellAnchor>
  <xdr:twoCellAnchor editAs="oneCell">
    <xdr:from>
      <xdr:col>2</xdr:col>
      <xdr:colOff>0</xdr:colOff>
      <xdr:row>4</xdr:row>
      <xdr:rowOff>85725</xdr:rowOff>
    </xdr:from>
    <xdr:to>
      <xdr:col>5</xdr:col>
      <xdr:colOff>485775</xdr:colOff>
      <xdr:row>13</xdr:row>
      <xdr:rowOff>114300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371600" y="923925"/>
          <a:ext cx="2543175" cy="19145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676275</xdr:colOff>
      <xdr:row>17</xdr:row>
      <xdr:rowOff>95250</xdr:rowOff>
    </xdr:from>
    <xdr:to>
      <xdr:col>5</xdr:col>
      <xdr:colOff>428625</xdr:colOff>
      <xdr:row>24</xdr:row>
      <xdr:rowOff>161925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362075" y="3657600"/>
          <a:ext cx="2495550" cy="1533525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10</xdr:col>
      <xdr:colOff>69686</xdr:colOff>
      <xdr:row>1</xdr:row>
      <xdr:rowOff>197250</xdr:rowOff>
    </xdr:to>
    <xdr:pic macro="[0]!Spreadsheetchapter3">
      <xdr:nvPicPr>
        <xdr:cNvPr id="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1722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19050</xdr:rowOff>
    </xdr:from>
    <xdr:to>
      <xdr:col>7</xdr:col>
      <xdr:colOff>676275</xdr:colOff>
      <xdr:row>11</xdr:row>
      <xdr:rowOff>152400</xdr:rowOff>
    </xdr:to>
    <xdr:sp macro="" textlink="">
      <xdr:nvSpPr>
        <xdr:cNvPr id="2" name="文字方塊 1"/>
        <xdr:cNvSpPr txBox="1"/>
      </xdr:nvSpPr>
      <xdr:spPr>
        <a:xfrm>
          <a:off x="685800" y="228600"/>
          <a:ext cx="479107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4.	</a:t>
          </a:r>
        </a:p>
        <a:p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同萬玩具廠做一隻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K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貓公仔賺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30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元，做一個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S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狗玩偶賺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20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元。做一個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K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貓公仔要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小時機器工及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小時手工，做一個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S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狗玩偶要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小時機器工及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小時手工。</a:t>
          </a:r>
        </a:p>
        <a:p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受限於工廠的機器及人員，一天內機器工不得超過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100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小時，手工不得超過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80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小時。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K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貓公仔因為版權，每天最多做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45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個。問每天的最適生產量如何配置。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用規劃求解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zh-TW" altLang="en-US" sz="12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69686</xdr:colOff>
      <xdr:row>1</xdr:row>
      <xdr:rowOff>197250</xdr:rowOff>
    </xdr:to>
    <xdr:pic macro="[0]!Spreadsheetchapter3"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864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6</xdr:col>
      <xdr:colOff>314325</xdr:colOff>
      <xdr:row>7</xdr:row>
      <xdr:rowOff>161925</xdr:rowOff>
    </xdr:to>
    <xdr:sp macro="" textlink="">
      <xdr:nvSpPr>
        <xdr:cNvPr id="2" name="文字方塊 1"/>
        <xdr:cNvSpPr txBox="1"/>
      </xdr:nvSpPr>
      <xdr:spPr>
        <a:xfrm>
          <a:off x="685800" y="209550"/>
          <a:ext cx="3743325" cy="1419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altLang="zh-TW" sz="1200">
              <a:solidFill>
                <a:schemeClr val="dk1"/>
              </a:solidFill>
              <a:latin typeface="+mn-lt"/>
              <a:ea typeface="+mn-ea"/>
              <a:cs typeface="+mn-cs"/>
            </a:rPr>
            <a:t>5.</a:t>
          </a:r>
        </a:p>
        <a:p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下列為三個方案之現金流量表：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(1).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計算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(2).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計算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IRR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(3).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以方案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為例說明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如何受到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r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的影響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(4).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用重置鏈法及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EAA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法比較方案二即方案三。</a:t>
          </a:r>
        </a:p>
        <a:p>
          <a:endParaRPr lang="zh-TW" altLang="en-US" sz="12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69686</xdr:colOff>
      <xdr:row>1</xdr:row>
      <xdr:rowOff>197250</xdr:rowOff>
    </xdr:to>
    <xdr:pic macro="[0]!Spreadsheetchapter3"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864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  <xdr:twoCellAnchor>
    <xdr:from>
      <xdr:col>11</xdr:col>
      <xdr:colOff>409575</xdr:colOff>
      <xdr:row>16</xdr:row>
      <xdr:rowOff>28575</xdr:rowOff>
    </xdr:from>
    <xdr:to>
      <xdr:col>18</xdr:col>
      <xdr:colOff>180975</xdr:colOff>
      <xdr:row>28</xdr:row>
      <xdr:rowOff>142875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0</xdr:rowOff>
    </xdr:from>
    <xdr:to>
      <xdr:col>6</xdr:col>
      <xdr:colOff>666750</xdr:colOff>
      <xdr:row>7</xdr:row>
      <xdr:rowOff>180975</xdr:rowOff>
    </xdr:to>
    <xdr:sp macro="" textlink="">
      <xdr:nvSpPr>
        <xdr:cNvPr id="2" name="文字方塊 1"/>
        <xdr:cNvSpPr txBox="1"/>
      </xdr:nvSpPr>
      <xdr:spPr>
        <a:xfrm>
          <a:off x="695325" y="209550"/>
          <a:ext cx="4086225" cy="1438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6.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下表為方案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與方案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的現金流量表，假設折現率為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10%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(1).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計算各計畫的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及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IRR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(2).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利用所計算的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及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IRR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做選擇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(3).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以方案為例，說明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與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IRR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之間的關係。</a:t>
          </a:r>
        </a:p>
        <a:p>
          <a:endParaRPr lang="zh-TW" altLang="en-US" sz="12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69686</xdr:colOff>
      <xdr:row>1</xdr:row>
      <xdr:rowOff>197250</xdr:rowOff>
    </xdr:to>
    <xdr:pic macro="[0]!Spreadsheetchapter3"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864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0</xdr:rowOff>
    </xdr:from>
    <xdr:to>
      <xdr:col>9</xdr:col>
      <xdr:colOff>69686</xdr:colOff>
      <xdr:row>1</xdr:row>
      <xdr:rowOff>197250</xdr:rowOff>
    </xdr:to>
    <xdr:pic macro="[0]!Spreadsheetchapter3"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864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1</xdr:row>
      <xdr:rowOff>1</xdr:rowOff>
    </xdr:from>
    <xdr:to>
      <xdr:col>7</xdr:col>
      <xdr:colOff>28574</xdr:colOff>
      <xdr:row>8</xdr:row>
      <xdr:rowOff>152401</xdr:rowOff>
    </xdr:to>
    <xdr:sp macro="" textlink="">
      <xdr:nvSpPr>
        <xdr:cNvPr id="2" name="文字方塊 1"/>
        <xdr:cNvSpPr txBox="1"/>
      </xdr:nvSpPr>
      <xdr:spPr>
        <a:xfrm>
          <a:off x="685799" y="209551"/>
          <a:ext cx="4143375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8.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下表為計畫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、計畫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及計畫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的現金流量表，假設折現率為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10%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：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(1).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計算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(2).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計算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IRR</a:t>
          </a:r>
          <a:endParaRPr lang="zh-TW" altLang="en-US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(3).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以計畫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為例說明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如何受到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r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的影響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(4).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計畫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及計畫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為互斥，要在兩者之間選一個，如何選。</a:t>
          </a:r>
        </a:p>
        <a:p>
          <a:endParaRPr lang="zh-TW" altLang="en-US" sz="12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69686</xdr:colOff>
      <xdr:row>1</xdr:row>
      <xdr:rowOff>197250</xdr:rowOff>
    </xdr:to>
    <xdr:pic macro="[0]!Spreadsheetchapter3"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864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  <xdr:twoCellAnchor>
    <xdr:from>
      <xdr:col>5</xdr:col>
      <xdr:colOff>304800</xdr:colOff>
      <xdr:row>21</xdr:row>
      <xdr:rowOff>180975</xdr:rowOff>
    </xdr:from>
    <xdr:to>
      <xdr:col>12</xdr:col>
      <xdr:colOff>76200</xdr:colOff>
      <xdr:row>34</xdr:row>
      <xdr:rowOff>76200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9526</xdr:rowOff>
    </xdr:from>
    <xdr:to>
      <xdr:col>7</xdr:col>
      <xdr:colOff>219075</xdr:colOff>
      <xdr:row>8</xdr:row>
      <xdr:rowOff>104776</xdr:rowOff>
    </xdr:to>
    <xdr:sp macro="" textlink="">
      <xdr:nvSpPr>
        <xdr:cNvPr id="2" name="文字方塊 1"/>
        <xdr:cNvSpPr txBox="1"/>
      </xdr:nvSpPr>
      <xdr:spPr>
        <a:xfrm>
          <a:off x="685800" y="219076"/>
          <a:ext cx="4333875" cy="156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9.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根據下列資料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(1).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計算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，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IRR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，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MIRR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，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PI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，回收期間，及折現後回收期間。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(2).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做敏感性分析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(3).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說明下列變數對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NPV, IRR, MIRR,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及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PI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的影響。　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　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　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　</a:t>
          </a:r>
        </a:p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(4).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銷售數量、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WACC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、銷售價格、變動成本及固定成本</a:t>
          </a:r>
        </a:p>
        <a:p>
          <a:endParaRPr lang="zh-TW" altLang="en-US" sz="12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69686</xdr:colOff>
      <xdr:row>1</xdr:row>
      <xdr:rowOff>197250</xdr:rowOff>
    </xdr:to>
    <xdr:pic macro="[0]!Spreadsheetchapter3"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864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200025</xdr:rowOff>
    </xdr:from>
    <xdr:to>
      <xdr:col>7</xdr:col>
      <xdr:colOff>152400</xdr:colOff>
      <xdr:row>6</xdr:row>
      <xdr:rowOff>142875</xdr:rowOff>
    </xdr:to>
    <xdr:sp macro="" textlink="">
      <xdr:nvSpPr>
        <xdr:cNvPr id="2" name="文字方塊 1"/>
        <xdr:cNvSpPr txBox="1"/>
      </xdr:nvSpPr>
      <xdr:spPr>
        <a:xfrm>
          <a:off x="695325" y="200025"/>
          <a:ext cx="4257675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10.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有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A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，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B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兩個計畫，不知要選哪一個。我們知道選擇是會受到折現率的影響。請您做，讓使用者可以選擇一個折現率，然後您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電腦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會依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法給一個最佳的方案選擇，並列出該方案的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。</a:t>
          </a:r>
          <a:endParaRPr lang="zh-TW" altLang="en-US" sz="12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69686</xdr:colOff>
      <xdr:row>1</xdr:row>
      <xdr:rowOff>197250</xdr:rowOff>
    </xdr:to>
    <xdr:pic macro="[0]!Spreadsheetchapter3"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864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1</xdr:row>
      <xdr:rowOff>9525</xdr:rowOff>
    </xdr:from>
    <xdr:to>
      <xdr:col>8</xdr:col>
      <xdr:colOff>228599</xdr:colOff>
      <xdr:row>12</xdr:row>
      <xdr:rowOff>133350</xdr:rowOff>
    </xdr:to>
    <xdr:sp macro="" textlink="">
      <xdr:nvSpPr>
        <xdr:cNvPr id="2" name="文字方塊 1"/>
        <xdr:cNvSpPr txBox="1"/>
      </xdr:nvSpPr>
      <xdr:spPr>
        <a:xfrm>
          <a:off x="695324" y="219075"/>
          <a:ext cx="5019675" cy="2428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altLang="zh-TW" sz="1200">
              <a:solidFill>
                <a:schemeClr val="dk1"/>
              </a:solidFill>
              <a:latin typeface="+mn-lt"/>
              <a:ea typeface="+mn-ea"/>
              <a:cs typeface="+mn-cs"/>
            </a:rPr>
            <a:t>11.</a:t>
          </a:r>
        </a:p>
        <a:p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有兩個互斥的投資計畫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A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及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B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，其現金流量如下表</a:t>
          </a:r>
          <a:endParaRPr lang="en-US" altLang="zh-TW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lvl="0"/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如果兩個計畫的資金成本是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12%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，要選哪一個計畫？如果兩個計畫的資金成本是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18%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，要選哪一個計畫？</a:t>
          </a:r>
        </a:p>
        <a:p>
          <a:pPr lvl="0"/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藉由構建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NPV 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淨現值線來說明。</a:t>
          </a:r>
        </a:p>
        <a:p>
          <a:pPr lvl="0"/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各個計畫的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IRR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是多少。</a:t>
          </a:r>
        </a:p>
        <a:p>
          <a:pPr lvl="0"/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計算個別計畫的</a:t>
          </a:r>
          <a:r>
            <a:rPr 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MIRR</a:t>
          </a:r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。</a:t>
          </a:r>
        </a:p>
        <a:p>
          <a:pPr lvl="0"/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什麼是交會點，怎麼算？</a:t>
          </a:r>
        </a:p>
        <a:p>
          <a:pPr lvl="0"/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計算各計畫的回收期間。</a:t>
          </a:r>
        </a:p>
        <a:p>
          <a:pPr lvl="0"/>
          <a:r>
            <a:rPr lang="zh-TW" altLang="en-US" sz="1200">
              <a:solidFill>
                <a:schemeClr val="dk1"/>
              </a:solidFill>
              <a:latin typeface="+mn-lt"/>
              <a:ea typeface="+mn-ea"/>
              <a:cs typeface="+mn-cs"/>
            </a:rPr>
            <a:t>計算各計畫的折現後回收期間。</a:t>
          </a:r>
        </a:p>
        <a:p>
          <a:endParaRPr lang="zh-TW" altLang="en-US" sz="1200"/>
        </a:p>
      </xdr:txBody>
    </xdr:sp>
    <xdr:clientData/>
  </xdr:twoCellAnchor>
  <xdr:twoCellAnchor editAs="oneCell">
    <xdr:from>
      <xdr:col>9</xdr:col>
      <xdr:colOff>0</xdr:colOff>
      <xdr:row>0</xdr:row>
      <xdr:rowOff>0</xdr:rowOff>
    </xdr:from>
    <xdr:to>
      <xdr:col>10</xdr:col>
      <xdr:colOff>69686</xdr:colOff>
      <xdr:row>1</xdr:row>
      <xdr:rowOff>197250</xdr:rowOff>
    </xdr:to>
    <xdr:pic macro="[0]!Spreadsheetchapter3"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72200" y="0"/>
          <a:ext cx="755486" cy="406800"/>
        </a:xfrm>
        <a:prstGeom prst="roundRect">
          <a:avLst/>
        </a:prstGeom>
        <a:noFill/>
        <a:ln w="1">
          <a:noFill/>
          <a:miter lim="800000"/>
          <a:headEnd/>
          <a:tailEnd type="none" w="med" len="med"/>
        </a:ln>
        <a:effectLst/>
        <a:scene3d>
          <a:camera prst="orthographicFront"/>
          <a:lightRig rig="threePt" dir="t"/>
        </a:scene3d>
        <a:sp3d prstMaterial="powder">
          <a:bevelT w="101600" h="127000"/>
        </a:sp3d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10:L27"/>
  <sheetViews>
    <sheetView workbookViewId="0"/>
  </sheetViews>
  <sheetFormatPr defaultRowHeight="16.5"/>
  <sheetData>
    <row r="10" spans="2:12"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2:12">
      <c r="B11" s="1" t="s">
        <v>0</v>
      </c>
      <c r="C11" s="1"/>
      <c r="D11" s="2">
        <v>1</v>
      </c>
      <c r="E11" s="2">
        <v>2</v>
      </c>
      <c r="F11" s="2">
        <v>3</v>
      </c>
      <c r="G11" s="2">
        <v>4</v>
      </c>
      <c r="H11" s="2">
        <v>5</v>
      </c>
      <c r="I11" s="2">
        <v>6</v>
      </c>
      <c r="J11" s="2">
        <v>7</v>
      </c>
      <c r="K11" s="2">
        <v>8</v>
      </c>
    </row>
    <row r="12" spans="2:12">
      <c r="B12" s="1" t="s">
        <v>1</v>
      </c>
      <c r="C12" s="1"/>
      <c r="D12" s="2">
        <v>-1000</v>
      </c>
      <c r="E12" s="2">
        <v>-1000</v>
      </c>
      <c r="F12" s="2">
        <v>-1000</v>
      </c>
      <c r="G12" s="2">
        <v>-1000</v>
      </c>
      <c r="H12" s="2">
        <v>-1000</v>
      </c>
      <c r="I12" s="2">
        <v>-1000</v>
      </c>
      <c r="J12" s="2">
        <v>-1000</v>
      </c>
      <c r="K12" s="2">
        <v>-1000</v>
      </c>
    </row>
    <row r="13" spans="2:12">
      <c r="B13" s="3" t="s">
        <v>2</v>
      </c>
      <c r="C13" s="1"/>
      <c r="D13" s="2">
        <v>1200</v>
      </c>
      <c r="E13" s="2">
        <v>820</v>
      </c>
      <c r="F13" s="2">
        <v>80</v>
      </c>
      <c r="G13" s="2">
        <v>140</v>
      </c>
      <c r="H13" s="1"/>
      <c r="I13" s="2">
        <v>200</v>
      </c>
      <c r="J13" s="2">
        <v>600</v>
      </c>
      <c r="K13" s="2">
        <v>-180</v>
      </c>
    </row>
    <row r="14" spans="2:12">
      <c r="B14" s="3" t="s">
        <v>3</v>
      </c>
      <c r="C14" s="1"/>
      <c r="D14" s="2">
        <v>200</v>
      </c>
      <c r="E14" s="2">
        <v>180</v>
      </c>
      <c r="F14" s="2">
        <v>90</v>
      </c>
      <c r="G14" s="2">
        <v>140</v>
      </c>
      <c r="H14" s="1"/>
      <c r="I14" s="2">
        <v>200</v>
      </c>
      <c r="J14" s="2">
        <v>450</v>
      </c>
      <c r="K14" s="2">
        <v>-40</v>
      </c>
    </row>
    <row r="15" spans="2:12">
      <c r="B15" s="3" t="s">
        <v>4</v>
      </c>
      <c r="C15" s="1"/>
      <c r="D15" s="2">
        <v>100</v>
      </c>
      <c r="E15" s="2">
        <v>100</v>
      </c>
      <c r="F15" s="2">
        <v>100</v>
      </c>
      <c r="G15" s="2">
        <v>140</v>
      </c>
      <c r="H15" s="1"/>
      <c r="I15" s="2">
        <v>200</v>
      </c>
      <c r="J15" s="2">
        <v>150</v>
      </c>
      <c r="K15" s="2">
        <v>50</v>
      </c>
    </row>
    <row r="16" spans="2:12">
      <c r="B16" s="3" t="s">
        <v>5</v>
      </c>
      <c r="C16" s="1"/>
      <c r="D16" s="1"/>
      <c r="E16" s="2">
        <v>100</v>
      </c>
      <c r="F16" s="2">
        <v>110</v>
      </c>
      <c r="G16" s="2">
        <v>140</v>
      </c>
      <c r="H16" s="1"/>
      <c r="I16" s="2">
        <v>150</v>
      </c>
      <c r="J16" s="2">
        <v>80</v>
      </c>
      <c r="K16" s="2">
        <v>150</v>
      </c>
    </row>
    <row r="17" spans="2:11">
      <c r="B17" s="3" t="s">
        <v>6</v>
      </c>
      <c r="C17" s="1"/>
      <c r="D17" s="1"/>
      <c r="E17" s="1"/>
      <c r="F17" s="2">
        <v>120</v>
      </c>
      <c r="G17" s="2">
        <v>140</v>
      </c>
      <c r="H17" s="1"/>
      <c r="I17" s="2">
        <v>150</v>
      </c>
      <c r="J17" s="2">
        <v>10</v>
      </c>
      <c r="K17" s="2">
        <v>330</v>
      </c>
    </row>
    <row r="18" spans="2:11">
      <c r="B18" s="3" t="s">
        <v>7</v>
      </c>
      <c r="C18" s="1"/>
      <c r="D18" s="1"/>
      <c r="E18" s="1"/>
      <c r="F18" s="2">
        <v>130</v>
      </c>
      <c r="G18" s="2">
        <v>140</v>
      </c>
      <c r="H18" s="1"/>
      <c r="I18" s="2">
        <v>165</v>
      </c>
      <c r="J18" s="1"/>
      <c r="K18" s="2">
        <v>580</v>
      </c>
    </row>
    <row r="19" spans="2:11">
      <c r="B19" s="3" t="s">
        <v>8</v>
      </c>
      <c r="C19" s="1"/>
      <c r="D19" s="1"/>
      <c r="E19" s="1"/>
      <c r="F19" s="2">
        <v>140</v>
      </c>
      <c r="G19" s="2">
        <v>140</v>
      </c>
      <c r="H19" s="1"/>
      <c r="I19" s="2">
        <v>165</v>
      </c>
      <c r="J19" s="1"/>
      <c r="K19" s="2">
        <v>1200</v>
      </c>
    </row>
    <row r="20" spans="2:11">
      <c r="B20" s="3" t="s">
        <v>9</v>
      </c>
      <c r="C20" s="1"/>
      <c r="D20" s="1"/>
      <c r="E20" s="1"/>
      <c r="F20" s="2">
        <v>150</v>
      </c>
      <c r="G20" s="2">
        <v>120</v>
      </c>
      <c r="H20" s="1"/>
      <c r="I20" s="2">
        <v>500</v>
      </c>
      <c r="J20" s="1"/>
      <c r="K20" s="1"/>
    </row>
    <row r="21" spans="2:11">
      <c r="B21" s="3" t="s">
        <v>10</v>
      </c>
      <c r="C21" s="1"/>
      <c r="D21" s="1"/>
      <c r="E21" s="1"/>
      <c r="F21" s="2">
        <v>160</v>
      </c>
      <c r="G21" s="2">
        <v>120</v>
      </c>
      <c r="H21" s="1"/>
      <c r="I21" s="1"/>
      <c r="J21" s="1"/>
      <c r="K21" s="1"/>
    </row>
    <row r="22" spans="2:11">
      <c r="B22" s="3" t="s">
        <v>11</v>
      </c>
      <c r="C22" s="1"/>
      <c r="D22" s="1"/>
      <c r="E22" s="1"/>
      <c r="F22" s="2">
        <v>170</v>
      </c>
      <c r="G22" s="2">
        <v>120</v>
      </c>
      <c r="H22" s="1"/>
      <c r="I22" s="1"/>
      <c r="J22" s="1"/>
      <c r="K22" s="1"/>
    </row>
    <row r="23" spans="2:11">
      <c r="B23" s="3" t="s">
        <v>12</v>
      </c>
      <c r="C23" s="1"/>
      <c r="D23" s="1"/>
      <c r="E23" s="1"/>
      <c r="F23" s="2">
        <v>180</v>
      </c>
      <c r="G23" s="2">
        <v>120</v>
      </c>
      <c r="H23" s="1"/>
      <c r="I23" s="1"/>
      <c r="J23" s="1"/>
      <c r="K23" s="1"/>
    </row>
    <row r="24" spans="2:11">
      <c r="B24" s="3" t="s">
        <v>13</v>
      </c>
      <c r="C24" s="1"/>
      <c r="D24" s="1"/>
      <c r="E24" s="1"/>
      <c r="F24" s="2">
        <v>190</v>
      </c>
      <c r="G24" s="2">
        <v>120</v>
      </c>
      <c r="H24" s="1"/>
      <c r="I24" s="1"/>
      <c r="J24" s="1"/>
      <c r="K24" s="1"/>
    </row>
    <row r="25" spans="2:11">
      <c r="B25" s="3" t="s">
        <v>14</v>
      </c>
      <c r="C25" s="1"/>
      <c r="D25" s="1"/>
      <c r="E25" s="1"/>
      <c r="F25" s="2">
        <v>200</v>
      </c>
      <c r="G25" s="2">
        <v>120</v>
      </c>
      <c r="H25" s="1"/>
      <c r="I25" s="1"/>
      <c r="J25" s="1"/>
      <c r="K25" s="1"/>
    </row>
    <row r="26" spans="2:11">
      <c r="B26" s="3" t="s">
        <v>15</v>
      </c>
      <c r="C26" s="1"/>
      <c r="D26" s="1"/>
      <c r="E26" s="1"/>
      <c r="F26" s="2">
        <v>210</v>
      </c>
      <c r="G26" s="2">
        <v>120</v>
      </c>
      <c r="H26" s="1"/>
      <c r="I26" s="1"/>
      <c r="J26" s="1"/>
      <c r="K26" s="1"/>
    </row>
    <row r="27" spans="2:11">
      <c r="B27" s="3" t="s">
        <v>16</v>
      </c>
      <c r="C27" s="1"/>
      <c r="D27" s="1"/>
      <c r="E27" s="1"/>
      <c r="F27" s="2">
        <v>220</v>
      </c>
      <c r="G27" s="2">
        <v>120</v>
      </c>
      <c r="H27" s="2">
        <v>5000</v>
      </c>
      <c r="I27" s="1"/>
      <c r="J27" s="1"/>
      <c r="K27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B11:H35"/>
  <sheetViews>
    <sheetView topLeftCell="A22" workbookViewId="0">
      <selection activeCell="H36" sqref="H36"/>
    </sheetView>
  </sheetViews>
  <sheetFormatPr defaultRowHeight="16.5"/>
  <cols>
    <col min="3" max="3" width="22.5" bestFit="1" customWidth="1"/>
  </cols>
  <sheetData>
    <row r="11" spans="2:8" ht="17.25" thickBot="1"/>
    <row r="12" spans="2:8" ht="17.25" thickBot="1">
      <c r="B12" s="4" t="s">
        <v>17</v>
      </c>
      <c r="C12" s="5">
        <v>0</v>
      </c>
      <c r="D12" s="5">
        <v>1</v>
      </c>
      <c r="E12" s="5">
        <v>2</v>
      </c>
      <c r="F12" s="5">
        <v>3</v>
      </c>
      <c r="G12" s="5">
        <v>4</v>
      </c>
      <c r="H12" s="5">
        <v>5</v>
      </c>
    </row>
    <row r="13" spans="2:8" ht="17.25" thickBot="1">
      <c r="B13" s="6" t="s">
        <v>18</v>
      </c>
      <c r="C13" s="7">
        <v>-100</v>
      </c>
      <c r="D13" s="7">
        <v>20</v>
      </c>
      <c r="E13" s="7">
        <v>14</v>
      </c>
      <c r="F13" s="7">
        <v>26</v>
      </c>
      <c r="G13" s="7">
        <v>50</v>
      </c>
      <c r="H13" s="7">
        <v>35</v>
      </c>
    </row>
    <row r="14" spans="2:8" ht="17.25" thickBot="1">
      <c r="B14" s="8"/>
      <c r="C14" s="7"/>
      <c r="D14" s="7"/>
      <c r="E14" s="7"/>
      <c r="F14" s="7"/>
      <c r="G14" s="7"/>
      <c r="H14" s="7"/>
    </row>
    <row r="18" spans="2:3">
      <c r="B18" t="s">
        <v>69</v>
      </c>
      <c r="C18" s="51">
        <v>0.1</v>
      </c>
    </row>
    <row r="19" spans="2:3">
      <c r="B19" t="s">
        <v>70</v>
      </c>
      <c r="C19" s="52">
        <f>NPV(C18,D13:H13)+C13</f>
        <v>5.1691700144674257</v>
      </c>
    </row>
    <row r="22" spans="2:3">
      <c r="B22" t="s">
        <v>71</v>
      </c>
      <c r="C22" t="s">
        <v>68</v>
      </c>
    </row>
    <row r="23" spans="2:3">
      <c r="C23">
        <v>5.17</v>
      </c>
    </row>
    <row r="24" spans="2:3">
      <c r="B24" s="51">
        <v>0.02</v>
      </c>
      <c r="C24" s="53">
        <f>NPV(B24,$D$13:$H$13)+$C$13</f>
        <v>35.457436418182624</v>
      </c>
    </row>
    <row r="25" spans="2:3">
      <c r="B25" s="51">
        <v>0.04</v>
      </c>
      <c r="C25" s="53">
        <f t="shared" ref="C25:C31" si="0">NPV(B25,$D$13:$H$13)+$C$13</f>
        <v>26.796119826525128</v>
      </c>
    </row>
    <row r="26" spans="2:3">
      <c r="B26" s="51">
        <v>0.06</v>
      </c>
      <c r="C26" s="53">
        <f t="shared" si="0"/>
        <v>18.916695259554103</v>
      </c>
    </row>
    <row r="27" spans="2:3">
      <c r="B27" s="51">
        <v>0.08</v>
      </c>
      <c r="C27" s="53">
        <f t="shared" si="0"/>
        <v>11.732804805271911</v>
      </c>
    </row>
    <row r="28" spans="2:3">
      <c r="B28" s="51">
        <v>0.1</v>
      </c>
      <c r="C28" s="53">
        <f t="shared" si="0"/>
        <v>5.1691700144674257</v>
      </c>
    </row>
    <row r="29" spans="2:3">
      <c r="B29" s="51">
        <v>0.12</v>
      </c>
      <c r="C29" s="53">
        <f t="shared" si="0"/>
        <v>-0.84001254360164523</v>
      </c>
    </row>
    <row r="30" spans="2:3">
      <c r="B30" s="51">
        <v>0.14000000000000001</v>
      </c>
      <c r="C30" s="53">
        <f t="shared" si="0"/>
        <v>-6.3524184099375844</v>
      </c>
    </row>
    <row r="31" spans="2:3">
      <c r="B31" s="51">
        <v>0.16</v>
      </c>
      <c r="C31" s="53">
        <f t="shared" si="0"/>
        <v>-11.4187301257477</v>
      </c>
    </row>
    <row r="34" spans="2:3">
      <c r="B34" t="s">
        <v>71</v>
      </c>
    </row>
    <row r="35" spans="2:3">
      <c r="B35" t="s">
        <v>68</v>
      </c>
      <c r="C35">
        <v>15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1" sqref="J1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>
      <selection activeCell="I1" sqref="I1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B9:AN51"/>
  <sheetViews>
    <sheetView topLeftCell="A23" workbookViewId="0">
      <selection activeCell="J52" sqref="J52"/>
    </sheetView>
  </sheetViews>
  <sheetFormatPr defaultRowHeight="16.5"/>
  <sheetData>
    <row r="9" spans="2:18" ht="17.25" thickBot="1"/>
    <row r="10" spans="2:18" ht="17.25" thickBot="1">
      <c r="B10" s="11" t="s">
        <v>19</v>
      </c>
      <c r="C10" s="12">
        <v>-2000</v>
      </c>
      <c r="D10" s="12">
        <v>280</v>
      </c>
      <c r="E10" s="12">
        <v>280</v>
      </c>
      <c r="F10" s="12">
        <v>280</v>
      </c>
      <c r="G10" s="12">
        <v>280</v>
      </c>
      <c r="H10" s="12">
        <v>280</v>
      </c>
      <c r="I10" s="12">
        <v>280</v>
      </c>
      <c r="J10" s="12">
        <v>280</v>
      </c>
      <c r="K10" s="12">
        <v>280</v>
      </c>
      <c r="L10" s="12">
        <v>280</v>
      </c>
      <c r="M10" s="12">
        <v>280</v>
      </c>
      <c r="N10" s="12">
        <v>280</v>
      </c>
      <c r="O10" s="12">
        <v>280</v>
      </c>
      <c r="P10" s="12">
        <v>280</v>
      </c>
      <c r="Q10" s="12">
        <v>280</v>
      </c>
      <c r="R10" s="12">
        <v>280</v>
      </c>
    </row>
    <row r="11" spans="2:18" ht="17.25" thickBot="1">
      <c r="B11" s="13" t="s">
        <v>20</v>
      </c>
      <c r="C11" s="14">
        <v>-2000</v>
      </c>
      <c r="D11" s="14">
        <v>1200</v>
      </c>
      <c r="E11" s="14">
        <v>900</v>
      </c>
      <c r="F11" s="14">
        <v>300</v>
      </c>
      <c r="G11" s="14">
        <v>90</v>
      </c>
      <c r="H11" s="14">
        <v>70</v>
      </c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2:18" ht="17.25" thickBot="1">
      <c r="B12" s="13" t="s">
        <v>21</v>
      </c>
      <c r="C12" s="14">
        <v>-2000</v>
      </c>
      <c r="D12" s="14">
        <v>-350</v>
      </c>
      <c r="E12" s="14">
        <v>-60</v>
      </c>
      <c r="F12" s="14">
        <v>60</v>
      </c>
      <c r="G12" s="14">
        <v>350</v>
      </c>
      <c r="H12" s="14">
        <v>700</v>
      </c>
      <c r="I12" s="14">
        <v>1200</v>
      </c>
      <c r="J12" s="14">
        <v>2400</v>
      </c>
      <c r="K12" s="15"/>
      <c r="L12" s="15"/>
      <c r="M12" s="15"/>
      <c r="N12" s="15"/>
      <c r="O12" s="15"/>
      <c r="P12" s="15"/>
      <c r="Q12" s="15"/>
      <c r="R12" s="15"/>
    </row>
    <row r="16" spans="2:18" ht="17.25" thickBot="1"/>
    <row r="17" spans="3:40" ht="17.25" thickBot="1">
      <c r="C17" t="s">
        <v>72</v>
      </c>
      <c r="D17" s="51">
        <v>0.1</v>
      </c>
      <c r="J17" s="54" t="s">
        <v>78</v>
      </c>
      <c r="K17" s="54" t="s">
        <v>79</v>
      </c>
    </row>
    <row r="18" spans="3:40" ht="17.25" thickBot="1">
      <c r="J18" s="58"/>
      <c r="K18" s="56">
        <f>129.7</f>
        <v>129.69999999999999</v>
      </c>
    </row>
    <row r="19" spans="3:40" ht="17.25" thickBot="1">
      <c r="C19" s="54"/>
      <c r="D19" s="54" t="s">
        <v>73</v>
      </c>
      <c r="E19" s="54" t="s">
        <v>74</v>
      </c>
      <c r="F19" s="54" t="s">
        <v>75</v>
      </c>
      <c r="J19" s="59">
        <v>0.02</v>
      </c>
      <c r="K19" s="60">
        <f>NPV(J19,$D$10:$R$10)+$C$10</f>
        <v>1597.7937801607322</v>
      </c>
    </row>
    <row r="20" spans="3:40" ht="17.25" thickBot="1">
      <c r="C20" s="55" t="s">
        <v>76</v>
      </c>
      <c r="D20" s="56">
        <f>NPV(D17,D10:R10)+C10</f>
        <v>129.70226176634105</v>
      </c>
      <c r="E20" s="56">
        <f>NPV(D17,D11:H11)+C11</f>
        <v>165.04088766912309</v>
      </c>
      <c r="F20" s="56">
        <f>NPV(D17,D12:J12)+C12</f>
        <v>259.95812835018342</v>
      </c>
      <c r="J20" s="59">
        <v>0.04</v>
      </c>
      <c r="K20" s="60">
        <f t="shared" ref="K20:K30" si="0">NPV(J20,$D$10:$R$10)+$C$10</f>
        <v>1113.1484810070724</v>
      </c>
    </row>
    <row r="21" spans="3:40" ht="17.25" thickBot="1">
      <c r="J21" s="59">
        <v>0.06</v>
      </c>
      <c r="K21" s="60">
        <f t="shared" si="0"/>
        <v>719.42971656747523</v>
      </c>
    </row>
    <row r="22" spans="3:40" ht="17.25" thickBot="1">
      <c r="J22" s="59">
        <v>0.08</v>
      </c>
      <c r="K22" s="60">
        <f t="shared" si="0"/>
        <v>396.65403261938354</v>
      </c>
    </row>
    <row r="23" spans="3:40" ht="17.25" thickBot="1">
      <c r="C23" s="54"/>
      <c r="D23" s="54" t="s">
        <v>73</v>
      </c>
      <c r="E23" s="54" t="s">
        <v>74</v>
      </c>
      <c r="F23" s="54" t="s">
        <v>75</v>
      </c>
      <c r="J23" s="59">
        <v>0.1</v>
      </c>
      <c r="K23" s="60">
        <f t="shared" si="0"/>
        <v>129.70226176634105</v>
      </c>
    </row>
    <row r="24" spans="3:40" ht="17.25" thickBot="1">
      <c r="C24" s="55" t="s">
        <v>77</v>
      </c>
      <c r="D24" s="57">
        <f>IRR(C10:R10)</f>
        <v>0.11121604342795915</v>
      </c>
      <c r="E24" s="57">
        <f>IRR(C11:H11)</f>
        <v>0.15257139008519277</v>
      </c>
      <c r="F24" s="57">
        <f>IRR(C12:J12)</f>
        <v>0.11964448460969582</v>
      </c>
      <c r="J24" s="59">
        <v>0.12</v>
      </c>
      <c r="K24" s="60">
        <f t="shared" si="0"/>
        <v>-92.957942949799872</v>
      </c>
    </row>
    <row r="25" spans="3:40" ht="17.25" thickBot="1">
      <c r="J25" s="59">
        <v>0.14000000000000001</v>
      </c>
      <c r="K25" s="60">
        <f t="shared" si="0"/>
        <v>-280.19296413831876</v>
      </c>
    </row>
    <row r="26" spans="3:40" ht="17.25" thickBot="1">
      <c r="J26" s="59">
        <v>0.16</v>
      </c>
      <c r="K26" s="60">
        <f t="shared" si="0"/>
        <v>-438.87227446852648</v>
      </c>
    </row>
    <row r="27" spans="3:40" ht="17.25" thickBot="1">
      <c r="J27" s="59">
        <v>0.18</v>
      </c>
      <c r="K27" s="60">
        <f t="shared" si="0"/>
        <v>-574.3582834832614</v>
      </c>
    </row>
    <row r="28" spans="3:40" ht="17.25" thickBot="1">
      <c r="J28" s="59">
        <v>0.2</v>
      </c>
      <c r="K28" s="60">
        <f t="shared" si="0"/>
        <v>-690.86766012642397</v>
      </c>
    </row>
    <row r="29" spans="3:40" ht="17.25" thickBot="1">
      <c r="J29" s="59">
        <v>0.22</v>
      </c>
      <c r="K29" s="60">
        <f t="shared" si="0"/>
        <v>-791.7397910727193</v>
      </c>
    </row>
    <row r="30" spans="3:40" ht="17.25" thickBot="1">
      <c r="J30" s="59">
        <v>0.24</v>
      </c>
      <c r="K30" s="60">
        <f t="shared" si="0"/>
        <v>-879.63765348521065</v>
      </c>
    </row>
    <row r="31" spans="3:40" ht="17.25" thickBot="1"/>
    <row r="32" spans="3:40" ht="17.25" thickBot="1">
      <c r="D32" s="54"/>
      <c r="E32" s="54">
        <v>0</v>
      </c>
      <c r="F32" s="54">
        <v>1</v>
      </c>
      <c r="G32" s="54">
        <v>2</v>
      </c>
      <c r="H32" s="54">
        <v>3</v>
      </c>
      <c r="I32" s="54">
        <v>4</v>
      </c>
      <c r="J32" s="54">
        <v>5</v>
      </c>
      <c r="K32" s="54">
        <v>6</v>
      </c>
      <c r="L32" s="54">
        <v>7</v>
      </c>
      <c r="M32" s="54">
        <v>8</v>
      </c>
      <c r="N32" s="54">
        <v>9</v>
      </c>
      <c r="O32" s="54">
        <v>10</v>
      </c>
      <c r="P32" s="54">
        <v>11</v>
      </c>
      <c r="Q32" s="54">
        <v>12</v>
      </c>
      <c r="R32" s="54">
        <v>13</v>
      </c>
      <c r="S32" s="54">
        <v>14</v>
      </c>
      <c r="T32" s="54">
        <v>15</v>
      </c>
      <c r="U32" s="54">
        <v>16</v>
      </c>
      <c r="V32" s="54">
        <v>17</v>
      </c>
      <c r="W32" s="54">
        <v>18</v>
      </c>
      <c r="X32" s="54">
        <v>19</v>
      </c>
      <c r="Y32" s="54">
        <v>20</v>
      </c>
      <c r="Z32" s="54">
        <v>21</v>
      </c>
      <c r="AA32" s="54">
        <v>22</v>
      </c>
      <c r="AB32" s="54">
        <v>23</v>
      </c>
      <c r="AC32" s="54">
        <v>24</v>
      </c>
      <c r="AD32" s="54">
        <v>25</v>
      </c>
      <c r="AE32" s="54">
        <v>26</v>
      </c>
      <c r="AF32" s="54">
        <v>27</v>
      </c>
      <c r="AG32" s="54">
        <v>28</v>
      </c>
      <c r="AH32" s="54">
        <v>29</v>
      </c>
      <c r="AI32" s="54">
        <v>30</v>
      </c>
      <c r="AJ32" s="54">
        <v>31</v>
      </c>
      <c r="AK32" s="54">
        <v>32</v>
      </c>
      <c r="AL32" s="54">
        <v>33</v>
      </c>
      <c r="AM32" s="54">
        <v>34</v>
      </c>
      <c r="AN32" s="54">
        <v>35</v>
      </c>
    </row>
    <row r="33" spans="4:40" ht="17.25" thickBot="1">
      <c r="D33" s="55" t="s">
        <v>80</v>
      </c>
      <c r="E33" s="61">
        <v>-2000</v>
      </c>
      <c r="F33" s="55">
        <v>1200</v>
      </c>
      <c r="G33" s="55">
        <v>900</v>
      </c>
      <c r="H33" s="55">
        <v>300</v>
      </c>
      <c r="I33" s="55">
        <v>90</v>
      </c>
      <c r="J33" s="55">
        <v>70</v>
      </c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</row>
    <row r="34" spans="4:40" ht="17.25" thickBot="1">
      <c r="D34" s="62" t="s">
        <v>81</v>
      </c>
      <c r="E34" s="63"/>
      <c r="F34" s="62"/>
      <c r="G34" s="62"/>
      <c r="H34" s="62"/>
      <c r="I34" s="62"/>
      <c r="J34" s="63">
        <v>-2000</v>
      </c>
      <c r="K34" s="62">
        <v>1200</v>
      </c>
      <c r="L34" s="62">
        <v>900</v>
      </c>
      <c r="M34" s="62">
        <v>300</v>
      </c>
      <c r="N34" s="62">
        <v>90</v>
      </c>
      <c r="O34" s="62">
        <v>70</v>
      </c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</row>
    <row r="35" spans="4:40" ht="17.25" thickBot="1">
      <c r="D35" s="62" t="s">
        <v>82</v>
      </c>
      <c r="E35" s="63"/>
      <c r="F35" s="62"/>
      <c r="G35" s="62"/>
      <c r="H35" s="62"/>
      <c r="I35" s="62"/>
      <c r="J35" s="63"/>
      <c r="K35" s="62"/>
      <c r="L35" s="62"/>
      <c r="M35" s="62"/>
      <c r="N35" s="62"/>
      <c r="O35" s="63">
        <v>-2000</v>
      </c>
      <c r="P35" s="62">
        <v>1200</v>
      </c>
      <c r="Q35" s="62">
        <v>900</v>
      </c>
      <c r="R35" s="62">
        <v>300</v>
      </c>
      <c r="S35" s="62">
        <v>90</v>
      </c>
      <c r="T35" s="62">
        <v>70</v>
      </c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</row>
    <row r="36" spans="4:40" ht="17.25" thickBot="1">
      <c r="D36" s="62" t="s">
        <v>83</v>
      </c>
      <c r="E36" s="63"/>
      <c r="F36" s="62"/>
      <c r="G36" s="62"/>
      <c r="H36" s="62"/>
      <c r="I36" s="62"/>
      <c r="J36" s="63"/>
      <c r="K36" s="62"/>
      <c r="L36" s="62"/>
      <c r="M36" s="62"/>
      <c r="N36" s="62"/>
      <c r="O36" s="63"/>
      <c r="P36" s="62"/>
      <c r="Q36" s="62"/>
      <c r="R36" s="62"/>
      <c r="S36" s="62"/>
      <c r="T36" s="63">
        <v>-2000</v>
      </c>
      <c r="U36" s="62">
        <v>1200</v>
      </c>
      <c r="V36" s="62">
        <v>900</v>
      </c>
      <c r="W36" s="62">
        <v>300</v>
      </c>
      <c r="X36" s="62">
        <v>90</v>
      </c>
      <c r="Y36" s="62">
        <v>70</v>
      </c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</row>
    <row r="37" spans="4:40" ht="17.25" thickBot="1">
      <c r="D37" s="62" t="s">
        <v>84</v>
      </c>
      <c r="E37" s="63"/>
      <c r="F37" s="62"/>
      <c r="G37" s="62"/>
      <c r="H37" s="62"/>
      <c r="I37" s="62"/>
      <c r="J37" s="63"/>
      <c r="K37" s="62"/>
      <c r="L37" s="62"/>
      <c r="M37" s="62"/>
      <c r="N37" s="62"/>
      <c r="O37" s="63"/>
      <c r="P37" s="62"/>
      <c r="Q37" s="62"/>
      <c r="R37" s="62"/>
      <c r="S37" s="62"/>
      <c r="T37" s="63"/>
      <c r="U37" s="62"/>
      <c r="V37" s="62"/>
      <c r="W37" s="62"/>
      <c r="X37" s="62"/>
      <c r="Y37" s="63">
        <v>-2000</v>
      </c>
      <c r="Z37" s="62">
        <v>1200</v>
      </c>
      <c r="AA37" s="62">
        <v>900</v>
      </c>
      <c r="AB37" s="62">
        <v>300</v>
      </c>
      <c r="AC37" s="62">
        <v>90</v>
      </c>
      <c r="AD37" s="62">
        <v>70</v>
      </c>
      <c r="AE37" s="62"/>
      <c r="AF37" s="62"/>
      <c r="AG37" s="62"/>
      <c r="AH37" s="62"/>
      <c r="AI37" s="62"/>
      <c r="AJ37" s="62"/>
      <c r="AK37" s="62"/>
      <c r="AL37" s="62"/>
      <c r="AM37" s="62"/>
      <c r="AN37" s="62"/>
    </row>
    <row r="38" spans="4:40" ht="17.25" thickBot="1">
      <c r="D38" s="62" t="s">
        <v>85</v>
      </c>
      <c r="E38" s="63"/>
      <c r="F38" s="62"/>
      <c r="G38" s="62"/>
      <c r="H38" s="62"/>
      <c r="I38" s="62"/>
      <c r="J38" s="63"/>
      <c r="K38" s="62"/>
      <c r="L38" s="62"/>
      <c r="M38" s="62"/>
      <c r="N38" s="62"/>
      <c r="O38" s="63"/>
      <c r="P38" s="62"/>
      <c r="Q38" s="62"/>
      <c r="R38" s="62"/>
      <c r="S38" s="62"/>
      <c r="T38" s="63"/>
      <c r="U38" s="62"/>
      <c r="V38" s="62"/>
      <c r="W38" s="62"/>
      <c r="X38" s="62"/>
      <c r="Y38" s="62"/>
      <c r="Z38" s="62"/>
      <c r="AA38" s="62"/>
      <c r="AB38" s="62"/>
      <c r="AC38" s="62"/>
      <c r="AD38" s="63">
        <v>-2000</v>
      </c>
      <c r="AE38" s="62">
        <v>1200</v>
      </c>
      <c r="AF38" s="62">
        <v>900</v>
      </c>
      <c r="AG38" s="62">
        <v>300</v>
      </c>
      <c r="AH38" s="62">
        <v>90</v>
      </c>
      <c r="AI38" s="62">
        <v>70</v>
      </c>
      <c r="AJ38" s="62"/>
      <c r="AK38" s="62"/>
      <c r="AL38" s="62"/>
      <c r="AM38" s="62"/>
      <c r="AN38" s="62"/>
    </row>
    <row r="39" spans="4:40" ht="17.25" thickBot="1">
      <c r="D39" s="62" t="s">
        <v>86</v>
      </c>
      <c r="E39" s="63"/>
      <c r="F39" s="62"/>
      <c r="G39" s="62"/>
      <c r="H39" s="62"/>
      <c r="I39" s="62"/>
      <c r="J39" s="63"/>
      <c r="K39" s="62"/>
      <c r="L39" s="62"/>
      <c r="M39" s="62"/>
      <c r="N39" s="62"/>
      <c r="O39" s="63"/>
      <c r="P39" s="62"/>
      <c r="Q39" s="62"/>
      <c r="R39" s="62"/>
      <c r="S39" s="62"/>
      <c r="T39" s="63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3">
        <v>-2000</v>
      </c>
      <c r="AJ39" s="62">
        <v>1200</v>
      </c>
      <c r="AK39" s="62">
        <v>900</v>
      </c>
      <c r="AL39" s="62">
        <v>300</v>
      </c>
      <c r="AM39" s="62">
        <v>90</v>
      </c>
      <c r="AN39" s="62">
        <v>70</v>
      </c>
    </row>
    <row r="40" spans="4:40" ht="17.25" thickBot="1">
      <c r="D40" s="62" t="s">
        <v>87</v>
      </c>
      <c r="E40" s="63">
        <f>SUM(E33:E39)</f>
        <v>-2000</v>
      </c>
      <c r="F40" s="63">
        <f>SUM(F33:F38)</f>
        <v>1200</v>
      </c>
      <c r="G40" s="63">
        <f>SUM(G33:G39)</f>
        <v>900</v>
      </c>
      <c r="H40" s="63">
        <f>SUM(H33:H39)</f>
        <v>300</v>
      </c>
      <c r="I40" s="63">
        <f t="shared" ref="F40:AN40" si="1">SUM(I33:I39)</f>
        <v>90</v>
      </c>
      <c r="J40" s="63">
        <f t="shared" si="1"/>
        <v>-1930</v>
      </c>
      <c r="K40" s="63">
        <f t="shared" si="1"/>
        <v>1200</v>
      </c>
      <c r="L40" s="63">
        <f t="shared" si="1"/>
        <v>900</v>
      </c>
      <c r="M40" s="63">
        <f t="shared" si="1"/>
        <v>300</v>
      </c>
      <c r="N40" s="63">
        <f t="shared" si="1"/>
        <v>90</v>
      </c>
      <c r="O40" s="63">
        <f t="shared" si="1"/>
        <v>-1930</v>
      </c>
      <c r="P40" s="63">
        <f t="shared" si="1"/>
        <v>1200</v>
      </c>
      <c r="Q40" s="63">
        <f t="shared" si="1"/>
        <v>900</v>
      </c>
      <c r="R40" s="63">
        <f t="shared" si="1"/>
        <v>300</v>
      </c>
      <c r="S40" s="63">
        <f t="shared" si="1"/>
        <v>90</v>
      </c>
      <c r="T40" s="63">
        <f t="shared" si="1"/>
        <v>-1930</v>
      </c>
      <c r="U40" s="63">
        <f t="shared" si="1"/>
        <v>1200</v>
      </c>
      <c r="V40" s="63">
        <f t="shared" si="1"/>
        <v>900</v>
      </c>
      <c r="W40" s="63">
        <f t="shared" si="1"/>
        <v>300</v>
      </c>
      <c r="X40" s="63">
        <f t="shared" si="1"/>
        <v>90</v>
      </c>
      <c r="Y40" s="63">
        <f t="shared" si="1"/>
        <v>-1930</v>
      </c>
      <c r="Z40" s="63">
        <f t="shared" si="1"/>
        <v>1200</v>
      </c>
      <c r="AA40" s="63">
        <f t="shared" si="1"/>
        <v>900</v>
      </c>
      <c r="AB40" s="63">
        <f t="shared" si="1"/>
        <v>300</v>
      </c>
      <c r="AC40" s="63">
        <f t="shared" si="1"/>
        <v>90</v>
      </c>
      <c r="AD40" s="63">
        <f t="shared" si="1"/>
        <v>-1930</v>
      </c>
      <c r="AE40" s="63">
        <f t="shared" si="1"/>
        <v>1200</v>
      </c>
      <c r="AF40" s="63">
        <f t="shared" si="1"/>
        <v>900</v>
      </c>
      <c r="AG40" s="63">
        <f t="shared" si="1"/>
        <v>300</v>
      </c>
      <c r="AH40" s="63">
        <f t="shared" si="1"/>
        <v>90</v>
      </c>
      <c r="AI40" s="63">
        <f t="shared" si="1"/>
        <v>-1930</v>
      </c>
      <c r="AJ40" s="63">
        <f t="shared" si="1"/>
        <v>1200</v>
      </c>
      <c r="AK40" s="63">
        <f t="shared" si="1"/>
        <v>900</v>
      </c>
      <c r="AL40" s="63">
        <f t="shared" si="1"/>
        <v>300</v>
      </c>
      <c r="AM40" s="63">
        <f t="shared" si="1"/>
        <v>90</v>
      </c>
      <c r="AN40" s="63">
        <f t="shared" si="1"/>
        <v>70</v>
      </c>
    </row>
    <row r="41" spans="4:40" ht="17.25" thickBot="1">
      <c r="D41" s="55" t="s">
        <v>88</v>
      </c>
      <c r="E41" s="61">
        <v>-2000</v>
      </c>
      <c r="F41" s="61">
        <v>-350</v>
      </c>
      <c r="G41" s="61">
        <v>-60</v>
      </c>
      <c r="H41" s="55">
        <v>60</v>
      </c>
      <c r="I41" s="55">
        <v>350</v>
      </c>
      <c r="J41" s="55">
        <v>700</v>
      </c>
      <c r="K41" s="55">
        <v>1200</v>
      </c>
      <c r="L41" s="55">
        <v>2400</v>
      </c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</row>
    <row r="42" spans="4:40" ht="17.25" thickBot="1">
      <c r="D42" s="62" t="s">
        <v>89</v>
      </c>
      <c r="E42" s="62"/>
      <c r="F42" s="62"/>
      <c r="G42" s="62"/>
      <c r="H42" s="62"/>
      <c r="I42" s="62"/>
      <c r="J42" s="62"/>
      <c r="K42" s="62"/>
      <c r="L42" s="63">
        <v>-2000</v>
      </c>
      <c r="M42" s="63">
        <v>-350</v>
      </c>
      <c r="N42" s="63">
        <v>-60</v>
      </c>
      <c r="O42" s="62">
        <v>60</v>
      </c>
      <c r="P42" s="62">
        <v>350</v>
      </c>
      <c r="Q42" s="62">
        <v>700</v>
      </c>
      <c r="R42" s="62">
        <v>1200</v>
      </c>
      <c r="S42" s="62">
        <v>2400</v>
      </c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</row>
    <row r="43" spans="4:40" ht="17.25" thickBot="1">
      <c r="D43" s="62" t="s">
        <v>90</v>
      </c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3">
        <v>-2000</v>
      </c>
      <c r="T43" s="63">
        <v>-350</v>
      </c>
      <c r="U43" s="63">
        <v>-60</v>
      </c>
      <c r="V43" s="62">
        <v>60</v>
      </c>
      <c r="W43" s="62">
        <v>350</v>
      </c>
      <c r="X43" s="62">
        <v>700</v>
      </c>
      <c r="Y43" s="62">
        <v>1200</v>
      </c>
      <c r="Z43" s="62">
        <v>2400</v>
      </c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</row>
    <row r="44" spans="4:40" ht="17.25" thickBot="1">
      <c r="D44" s="62" t="s">
        <v>91</v>
      </c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3">
        <v>-2000</v>
      </c>
      <c r="AA44" s="63">
        <v>-350</v>
      </c>
      <c r="AB44" s="63">
        <v>-60</v>
      </c>
      <c r="AC44" s="62">
        <v>60</v>
      </c>
      <c r="AD44" s="62">
        <v>350</v>
      </c>
      <c r="AE44" s="62">
        <v>700</v>
      </c>
      <c r="AF44" s="62">
        <v>1200</v>
      </c>
      <c r="AG44" s="62">
        <v>2400</v>
      </c>
      <c r="AH44" s="62"/>
      <c r="AI44" s="62"/>
      <c r="AJ44" s="62"/>
      <c r="AK44" s="62"/>
      <c r="AL44" s="62"/>
      <c r="AM44" s="62"/>
      <c r="AN44" s="62"/>
    </row>
    <row r="45" spans="4:40" ht="17.25" thickBot="1">
      <c r="D45" s="62" t="s">
        <v>84</v>
      </c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3">
        <v>-2000</v>
      </c>
      <c r="AH45" s="63">
        <v>-350</v>
      </c>
      <c r="AI45" s="63">
        <v>-60</v>
      </c>
      <c r="AJ45" s="62">
        <v>60</v>
      </c>
      <c r="AK45" s="62">
        <v>350</v>
      </c>
      <c r="AL45" s="62">
        <v>700</v>
      </c>
      <c r="AM45" s="62">
        <v>1200</v>
      </c>
      <c r="AN45" s="62">
        <v>2400</v>
      </c>
    </row>
    <row r="46" spans="4:40" ht="17.25" thickBot="1">
      <c r="D46" s="62" t="s">
        <v>87</v>
      </c>
      <c r="E46" s="63">
        <f>SUM(E41:E45)</f>
        <v>-2000</v>
      </c>
      <c r="F46" s="63">
        <f t="shared" ref="F46:AN46" si="2">SUM(F41:F45)</f>
        <v>-350</v>
      </c>
      <c r="G46" s="63">
        <f t="shared" si="2"/>
        <v>-60</v>
      </c>
      <c r="H46" s="63">
        <f t="shared" si="2"/>
        <v>60</v>
      </c>
      <c r="I46" s="63">
        <f t="shared" si="2"/>
        <v>350</v>
      </c>
      <c r="J46" s="63">
        <f t="shared" si="2"/>
        <v>700</v>
      </c>
      <c r="K46" s="63">
        <f t="shared" si="2"/>
        <v>1200</v>
      </c>
      <c r="L46" s="63">
        <f t="shared" si="2"/>
        <v>400</v>
      </c>
      <c r="M46" s="63">
        <f t="shared" si="2"/>
        <v>-350</v>
      </c>
      <c r="N46" s="63">
        <f t="shared" si="2"/>
        <v>-60</v>
      </c>
      <c r="O46" s="63">
        <f t="shared" si="2"/>
        <v>60</v>
      </c>
      <c r="P46" s="63">
        <f t="shared" si="2"/>
        <v>350</v>
      </c>
      <c r="Q46" s="63">
        <f t="shared" si="2"/>
        <v>700</v>
      </c>
      <c r="R46" s="63">
        <f t="shared" si="2"/>
        <v>1200</v>
      </c>
      <c r="S46" s="63">
        <f t="shared" si="2"/>
        <v>400</v>
      </c>
      <c r="T46" s="63">
        <f t="shared" si="2"/>
        <v>-350</v>
      </c>
      <c r="U46" s="63">
        <f t="shared" si="2"/>
        <v>-60</v>
      </c>
      <c r="V46" s="63">
        <f t="shared" si="2"/>
        <v>60</v>
      </c>
      <c r="W46" s="63">
        <f t="shared" si="2"/>
        <v>350</v>
      </c>
      <c r="X46" s="63">
        <f t="shared" si="2"/>
        <v>700</v>
      </c>
      <c r="Y46" s="63">
        <f t="shared" si="2"/>
        <v>1200</v>
      </c>
      <c r="Z46" s="63">
        <f t="shared" si="2"/>
        <v>400</v>
      </c>
      <c r="AA46" s="63">
        <f t="shared" si="2"/>
        <v>-350</v>
      </c>
      <c r="AB46" s="63">
        <f t="shared" si="2"/>
        <v>-60</v>
      </c>
      <c r="AC46" s="63">
        <f t="shared" si="2"/>
        <v>60</v>
      </c>
      <c r="AD46" s="63">
        <f t="shared" si="2"/>
        <v>350</v>
      </c>
      <c r="AE46" s="63">
        <f t="shared" si="2"/>
        <v>700</v>
      </c>
      <c r="AF46" s="63">
        <f t="shared" si="2"/>
        <v>1200</v>
      </c>
      <c r="AG46" s="63">
        <f t="shared" si="2"/>
        <v>400</v>
      </c>
      <c r="AH46" s="63">
        <f t="shared" si="2"/>
        <v>-350</v>
      </c>
      <c r="AI46" s="63">
        <f t="shared" si="2"/>
        <v>-60</v>
      </c>
      <c r="AJ46" s="63">
        <f t="shared" si="2"/>
        <v>60</v>
      </c>
      <c r="AK46" s="63">
        <f t="shared" si="2"/>
        <v>350</v>
      </c>
      <c r="AL46" s="63">
        <f t="shared" si="2"/>
        <v>700</v>
      </c>
      <c r="AM46" s="63">
        <f t="shared" si="2"/>
        <v>1200</v>
      </c>
      <c r="AN46" s="63">
        <f t="shared" si="2"/>
        <v>2400</v>
      </c>
    </row>
    <row r="47" spans="4:40" ht="17.25" thickBot="1"/>
    <row r="48" spans="4:40" ht="17.25" thickBot="1">
      <c r="D48" s="54" t="s">
        <v>92</v>
      </c>
      <c r="E48" s="54" t="s">
        <v>93</v>
      </c>
      <c r="F48" s="54" t="s">
        <v>94</v>
      </c>
      <c r="H48" s="62"/>
      <c r="I48" s="54" t="s">
        <v>93</v>
      </c>
      <c r="J48" s="54" t="s">
        <v>94</v>
      </c>
    </row>
    <row r="49" spans="4:10" ht="17.25" thickBot="1">
      <c r="D49" s="54" t="s">
        <v>79</v>
      </c>
      <c r="E49" s="64">
        <f>NPV($D$17,F40:AN40)+E40</f>
        <v>419.88132134140642</v>
      </c>
      <c r="F49" s="64">
        <f>NPV($D$17,F46:AN46)+E46</f>
        <v>514.96750996887931</v>
      </c>
      <c r="H49" s="55" t="s">
        <v>79</v>
      </c>
      <c r="I49" s="65">
        <f>NPV($D$17,F33:J33)+E33</f>
        <v>165.04088766912309</v>
      </c>
      <c r="J49" s="65">
        <f>NPV(D17,F41:L41)+E41</f>
        <v>259.95812835018342</v>
      </c>
    </row>
    <row r="50" spans="4:10" ht="17.25" thickBot="1">
      <c r="D50" s="54" t="s">
        <v>95</v>
      </c>
      <c r="E50" s="59">
        <f>IRR(E40:AN40)</f>
        <v>0.15257139008462908</v>
      </c>
      <c r="F50" s="59">
        <f>IRR(E46:AN46)</f>
        <v>0.11964448460776131</v>
      </c>
      <c r="H50" s="55" t="s">
        <v>96</v>
      </c>
      <c r="I50" s="65">
        <v>5</v>
      </c>
      <c r="J50" s="65">
        <v>7</v>
      </c>
    </row>
    <row r="51" spans="4:10" ht="17.25" thickBot="1">
      <c r="H51" s="55" t="s">
        <v>97</v>
      </c>
      <c r="I51" s="66">
        <f>PMT($D$17,I50,-I49,,0)</f>
        <v>43.537370395243201</v>
      </c>
      <c r="J51" s="66">
        <f>PMT($D$17,J50,-J49,,0)</f>
        <v>53.396829255000988</v>
      </c>
    </row>
  </sheetData>
  <phoneticPr fontId="1" type="noConversion"/>
  <pageMargins left="0.7" right="0.7" top="0.75" bottom="0.75" header="0.3" footer="0.3"/>
  <ignoredErrors>
    <ignoredError sqref="F40:N40 P40:S40 U40:AE40 AF40:AN40" formulaRange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9:K22"/>
  <sheetViews>
    <sheetView workbookViewId="0">
      <selection activeCell="E22" sqref="E22"/>
    </sheetView>
  </sheetViews>
  <sheetFormatPr defaultRowHeight="16.5"/>
  <sheetData>
    <row r="9" spans="2:11" ht="17.25" thickBot="1"/>
    <row r="10" spans="2:11" ht="17.25" thickBot="1">
      <c r="B10" s="16" t="s">
        <v>22</v>
      </c>
      <c r="C10" s="12">
        <v>-2000</v>
      </c>
      <c r="D10" s="12">
        <v>330</v>
      </c>
      <c r="E10" s="12">
        <v>330</v>
      </c>
      <c r="F10" s="12">
        <v>330</v>
      </c>
      <c r="G10" s="12">
        <v>330</v>
      </c>
      <c r="H10" s="12">
        <v>330</v>
      </c>
      <c r="I10" s="12">
        <v>330</v>
      </c>
      <c r="J10" s="12">
        <v>330</v>
      </c>
      <c r="K10" s="12">
        <v>1000</v>
      </c>
    </row>
    <row r="11" spans="2:11" ht="17.25" thickBot="1">
      <c r="B11" s="17" t="s">
        <v>23</v>
      </c>
      <c r="C11" s="14">
        <v>-2000</v>
      </c>
      <c r="D11" s="14">
        <v>-350</v>
      </c>
      <c r="E11" s="14">
        <v>-60</v>
      </c>
      <c r="F11" s="14">
        <v>60</v>
      </c>
      <c r="G11" s="14">
        <v>350</v>
      </c>
      <c r="H11" s="14">
        <v>700</v>
      </c>
      <c r="I11" s="14">
        <v>1200</v>
      </c>
      <c r="J11" s="14">
        <v>2400</v>
      </c>
      <c r="K11" s="15"/>
    </row>
    <row r="13" spans="2:11" ht="17.25" thickBot="1"/>
    <row r="14" spans="2:11" ht="17.25" thickBot="1">
      <c r="B14" s="67" t="s">
        <v>98</v>
      </c>
      <c r="C14" s="68">
        <v>0.1</v>
      </c>
      <c r="E14" s="54"/>
      <c r="F14" s="54" t="s">
        <v>99</v>
      </c>
      <c r="G14" s="54" t="s">
        <v>93</v>
      </c>
    </row>
    <row r="15" spans="2:11" ht="17.25" thickBot="1">
      <c r="E15" s="55" t="s">
        <v>79</v>
      </c>
      <c r="F15" s="65">
        <f>NPV($C$14,D10:K10)+C10</f>
        <v>73.085590048400263</v>
      </c>
      <c r="G15" s="65">
        <f>NPV($C$14,D11:J11)+C11</f>
        <v>259.95812835018342</v>
      </c>
    </row>
    <row r="16" spans="2:11" ht="17.25" thickBot="1">
      <c r="E16" s="55" t="s">
        <v>95</v>
      </c>
      <c r="F16" s="69">
        <f>IRR(C10:K10)</f>
        <v>0.10865030333729379</v>
      </c>
      <c r="G16" s="69">
        <f>IRR(C11:J11)</f>
        <v>0.11964448460969582</v>
      </c>
    </row>
    <row r="21" spans="4:5">
      <c r="D21">
        <v>2</v>
      </c>
      <c r="E21" t="s">
        <v>100</v>
      </c>
    </row>
    <row r="22" spans="4:5">
      <c r="D22">
        <v>3</v>
      </c>
      <c r="E22" t="s">
        <v>101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2"/>
  <sheetViews>
    <sheetView workbookViewId="0">
      <selection activeCell="I1" sqref="I1"/>
    </sheetView>
  </sheetViews>
  <sheetFormatPr defaultRowHeight="16.5"/>
  <sheetData>
    <row r="1" spans="1:1">
      <c r="A1" s="18">
        <v>7</v>
      </c>
    </row>
    <row r="2" spans="1:1">
      <c r="A2" s="18" t="s">
        <v>24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B10:AB59"/>
  <sheetViews>
    <sheetView tabSelected="1" topLeftCell="A30" workbookViewId="0">
      <selection activeCell="J60" sqref="J60"/>
    </sheetView>
  </sheetViews>
  <sheetFormatPr defaultRowHeight="16.5"/>
  <sheetData>
    <row r="10" spans="2:18" ht="17.25" thickBot="1"/>
    <row r="11" spans="2:18" ht="17.25" thickBot="1">
      <c r="B11" s="16" t="s">
        <v>25</v>
      </c>
      <c r="C11" s="12">
        <v>-2000</v>
      </c>
      <c r="D11" s="12">
        <v>330</v>
      </c>
      <c r="E11" s="12">
        <v>330</v>
      </c>
      <c r="F11" s="12">
        <v>330</v>
      </c>
      <c r="G11" s="12">
        <v>330</v>
      </c>
      <c r="H11" s="12">
        <v>330</v>
      </c>
      <c r="I11" s="12">
        <v>330</v>
      </c>
      <c r="J11" s="12">
        <v>330</v>
      </c>
      <c r="K11" s="12">
        <v>1000</v>
      </c>
      <c r="L11" s="19"/>
      <c r="M11" s="19"/>
      <c r="N11" s="19"/>
      <c r="O11" s="19"/>
      <c r="P11" s="19"/>
      <c r="Q11" s="19"/>
      <c r="R11" s="19"/>
    </row>
    <row r="12" spans="2:18" ht="17.25" thickBot="1">
      <c r="B12" s="17" t="s">
        <v>26</v>
      </c>
      <c r="C12" s="14">
        <v>-2000</v>
      </c>
      <c r="D12" s="14">
        <v>1666</v>
      </c>
      <c r="E12" s="14">
        <v>334</v>
      </c>
      <c r="F12" s="14">
        <v>165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2:18" ht="17.25" thickBot="1">
      <c r="B13" s="17" t="s">
        <v>27</v>
      </c>
      <c r="C13" s="14">
        <v>-2000</v>
      </c>
      <c r="D13" s="14">
        <v>160</v>
      </c>
      <c r="E13" s="14">
        <v>200</v>
      </c>
      <c r="F13" s="14">
        <v>350</v>
      </c>
      <c r="G13" s="14">
        <v>395</v>
      </c>
      <c r="H13" s="14">
        <v>432</v>
      </c>
      <c r="I13" s="14">
        <v>440</v>
      </c>
      <c r="J13" s="14">
        <v>442</v>
      </c>
      <c r="K13" s="14">
        <v>444</v>
      </c>
      <c r="L13" s="14">
        <v>446</v>
      </c>
      <c r="M13" s="14">
        <v>448</v>
      </c>
      <c r="N13" s="14">
        <v>450</v>
      </c>
      <c r="O13" s="14">
        <v>451</v>
      </c>
      <c r="P13" s="14">
        <v>451</v>
      </c>
      <c r="Q13" s="14">
        <v>452</v>
      </c>
      <c r="R13" s="14">
        <v>453</v>
      </c>
    </row>
    <row r="16" spans="2:18" ht="17.25" thickBot="1"/>
    <row r="17" spans="3:9" ht="17.25" thickBot="1">
      <c r="C17" s="55" t="s">
        <v>98</v>
      </c>
      <c r="D17" s="70">
        <v>0.1</v>
      </c>
      <c r="F17" s="54"/>
      <c r="G17" s="54" t="s">
        <v>102</v>
      </c>
      <c r="H17" s="54" t="s">
        <v>103</v>
      </c>
      <c r="I17" s="54" t="s">
        <v>104</v>
      </c>
    </row>
    <row r="18" spans="3:9" ht="17.25" thickBot="1">
      <c r="F18" s="55" t="s">
        <v>79</v>
      </c>
      <c r="G18" s="65">
        <f>NPV(D17,D11:K11)+C11</f>
        <v>73.085590048400263</v>
      </c>
      <c r="H18" s="65">
        <f>NPV(D17,D12:F12)+C12</f>
        <v>-85.454545454545496</v>
      </c>
      <c r="I18" s="65">
        <f>NPV(D17,D13:R13)+C13</f>
        <v>815.45064827833858</v>
      </c>
    </row>
    <row r="19" spans="3:9" ht="17.25" thickBot="1">
      <c r="F19" s="55" t="s">
        <v>95</v>
      </c>
      <c r="G19" s="71">
        <f>IRR(C11:K11)</f>
        <v>0.10865030333729379</v>
      </c>
      <c r="H19" s="71">
        <f>IRR(C12:F12)</f>
        <v>6.3088234267993759E-2</v>
      </c>
      <c r="I19" s="71">
        <f>IRR(C13:R13)</f>
        <v>0.15644092731227544</v>
      </c>
    </row>
    <row r="22" spans="3:9" ht="17.25" thickBot="1"/>
    <row r="23" spans="3:9" ht="17.25" thickBot="1">
      <c r="C23" s="54" t="s">
        <v>105</v>
      </c>
      <c r="D23" s="54" t="s">
        <v>106</v>
      </c>
    </row>
    <row r="24" spans="3:9" ht="17.25" thickBot="1">
      <c r="C24" s="62"/>
      <c r="D24" s="65">
        <f>G18</f>
        <v>73.085590048400263</v>
      </c>
    </row>
    <row r="25" spans="3:9" ht="17.25" thickBot="1">
      <c r="C25" s="69">
        <v>0.02</v>
      </c>
      <c r="D25" s="72">
        <f>NPV(C25,$D$11:$K$11)+$C$11</f>
        <v>989.24742406053383</v>
      </c>
    </row>
    <row r="26" spans="3:9" ht="17.25" thickBot="1">
      <c r="C26" s="69">
        <v>0.04</v>
      </c>
      <c r="D26" s="72">
        <f t="shared" ref="D26:D34" si="0">NPV(C26,$D$11:$K$11)+$C$11</f>
        <v>711.36824608495999</v>
      </c>
    </row>
    <row r="27" spans="3:9" ht="17.25" thickBot="1">
      <c r="C27" s="69">
        <v>0.06</v>
      </c>
      <c r="D27" s="72">
        <f t="shared" si="0"/>
        <v>469.59824641897649</v>
      </c>
    </row>
    <row r="28" spans="3:9" ht="17.25" thickBot="1">
      <c r="C28" s="69">
        <v>0.08</v>
      </c>
      <c r="D28" s="72">
        <f t="shared" si="0"/>
        <v>258.37100404567218</v>
      </c>
    </row>
    <row r="29" spans="3:9" ht="17.25" thickBot="1">
      <c r="C29" s="69">
        <v>0.1</v>
      </c>
      <c r="D29" s="72">
        <f t="shared" si="0"/>
        <v>73.085590048400263</v>
      </c>
    </row>
    <row r="30" spans="3:9" ht="17.25" thickBot="1">
      <c r="C30" s="69">
        <v>0.12</v>
      </c>
      <c r="D30" s="72">
        <f t="shared" si="0"/>
        <v>-90.077114197089031</v>
      </c>
    </row>
    <row r="31" spans="3:9" ht="17.25" thickBot="1">
      <c r="C31" s="69">
        <v>0.14000000000000001</v>
      </c>
      <c r="D31" s="72">
        <f t="shared" si="0"/>
        <v>-234.30034825535563</v>
      </c>
    </row>
    <row r="32" spans="3:9" ht="17.25" thickBot="1">
      <c r="C32" s="69">
        <v>0.16</v>
      </c>
      <c r="D32" s="72">
        <f t="shared" si="0"/>
        <v>-362.2479485912429</v>
      </c>
    </row>
    <row r="33" spans="3:28" ht="17.25" thickBot="1">
      <c r="C33" s="69">
        <v>0.18</v>
      </c>
      <c r="D33" s="72">
        <f t="shared" si="0"/>
        <v>-476.15773047315338</v>
      </c>
    </row>
    <row r="34" spans="3:28" ht="17.25" thickBot="1">
      <c r="C34" s="69">
        <v>0.2</v>
      </c>
      <c r="D34" s="72">
        <f t="shared" si="0"/>
        <v>-577.91667857415018</v>
      </c>
    </row>
    <row r="38" spans="3:28" ht="17.25" thickBot="1"/>
    <row r="39" spans="3:28" ht="17.25" thickBot="1">
      <c r="C39" s="54" t="s">
        <v>107</v>
      </c>
      <c r="D39" s="54">
        <v>0</v>
      </c>
      <c r="E39" s="54">
        <v>1</v>
      </c>
      <c r="F39" s="54">
        <v>2</v>
      </c>
      <c r="G39" s="54">
        <v>3</v>
      </c>
      <c r="H39" s="54">
        <v>4</v>
      </c>
      <c r="I39" s="54">
        <v>5</v>
      </c>
      <c r="J39" s="54">
        <v>6</v>
      </c>
      <c r="K39" s="54">
        <v>7</v>
      </c>
      <c r="L39" s="54">
        <v>8</v>
      </c>
      <c r="M39" s="54">
        <v>9</v>
      </c>
      <c r="N39" s="54">
        <v>10</v>
      </c>
      <c r="O39" s="54">
        <v>11</v>
      </c>
      <c r="P39" s="54">
        <v>12</v>
      </c>
      <c r="Q39" s="54">
        <v>13</v>
      </c>
      <c r="R39" s="54">
        <v>14</v>
      </c>
      <c r="S39" s="54">
        <v>15</v>
      </c>
      <c r="T39" s="54">
        <v>16</v>
      </c>
      <c r="U39" s="54">
        <v>17</v>
      </c>
      <c r="V39" s="54">
        <v>18</v>
      </c>
      <c r="W39" s="54">
        <v>19</v>
      </c>
      <c r="X39" s="54">
        <v>20</v>
      </c>
      <c r="Y39" s="54">
        <v>21</v>
      </c>
      <c r="Z39" s="54">
        <v>22</v>
      </c>
      <c r="AA39" s="54">
        <v>23</v>
      </c>
      <c r="AB39" s="54">
        <v>24</v>
      </c>
    </row>
    <row r="40" spans="3:28" ht="17.25" thickBot="1">
      <c r="C40" s="73" t="s">
        <v>108</v>
      </c>
      <c r="D40" s="61">
        <v>-2000</v>
      </c>
      <c r="E40" s="55">
        <v>330</v>
      </c>
      <c r="F40" s="55">
        <v>330</v>
      </c>
      <c r="G40" s="55">
        <v>330</v>
      </c>
      <c r="H40" s="55">
        <v>330</v>
      </c>
      <c r="I40" s="55">
        <v>330</v>
      </c>
      <c r="J40" s="55">
        <v>330</v>
      </c>
      <c r="K40" s="55">
        <v>330</v>
      </c>
      <c r="L40" s="55">
        <v>1000</v>
      </c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</row>
    <row r="41" spans="3:28" ht="17.25" thickBot="1">
      <c r="C41" s="74" t="s">
        <v>81</v>
      </c>
      <c r="D41" s="63"/>
      <c r="E41" s="62"/>
      <c r="F41" s="62"/>
      <c r="G41" s="62"/>
      <c r="H41" s="62"/>
      <c r="I41" s="62"/>
      <c r="J41" s="62"/>
      <c r="K41" s="62"/>
      <c r="L41" s="63">
        <v>-2000</v>
      </c>
      <c r="M41" s="62">
        <v>330</v>
      </c>
      <c r="N41" s="62">
        <v>330</v>
      </c>
      <c r="O41" s="62">
        <v>330</v>
      </c>
      <c r="P41" s="62">
        <v>330</v>
      </c>
      <c r="Q41" s="62">
        <v>330</v>
      </c>
      <c r="R41" s="62">
        <v>330</v>
      </c>
      <c r="S41" s="62">
        <v>330</v>
      </c>
      <c r="T41" s="62">
        <v>1000</v>
      </c>
      <c r="U41" s="62"/>
      <c r="V41" s="62"/>
      <c r="W41" s="62"/>
      <c r="X41" s="62"/>
      <c r="Y41" s="62"/>
      <c r="Z41" s="62"/>
      <c r="AA41" s="62"/>
      <c r="AB41" s="62"/>
    </row>
    <row r="42" spans="3:28" ht="17.25" thickBot="1">
      <c r="C42" s="74" t="s">
        <v>82</v>
      </c>
      <c r="D42" s="63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3">
        <v>-2000</v>
      </c>
      <c r="U42" s="62">
        <v>330</v>
      </c>
      <c r="V42" s="62">
        <v>330</v>
      </c>
      <c r="W42" s="62">
        <v>330</v>
      </c>
      <c r="X42" s="62">
        <v>330</v>
      </c>
      <c r="Y42" s="62">
        <v>330</v>
      </c>
      <c r="Z42" s="62">
        <v>330</v>
      </c>
      <c r="AA42" s="62">
        <v>330</v>
      </c>
      <c r="AB42" s="62">
        <v>1000</v>
      </c>
    </row>
    <row r="43" spans="3:28" ht="17.25" thickBot="1">
      <c r="C43" s="74" t="s">
        <v>109</v>
      </c>
      <c r="D43" s="63">
        <f>SUM(D40:D42)</f>
        <v>-2000</v>
      </c>
      <c r="E43" s="63">
        <f t="shared" ref="E43:AB43" si="1">SUM(E40:E42)</f>
        <v>330</v>
      </c>
      <c r="F43" s="63">
        <f t="shared" si="1"/>
        <v>330</v>
      </c>
      <c r="G43" s="63">
        <f t="shared" si="1"/>
        <v>330</v>
      </c>
      <c r="H43" s="63">
        <f t="shared" si="1"/>
        <v>330</v>
      </c>
      <c r="I43" s="63">
        <f t="shared" si="1"/>
        <v>330</v>
      </c>
      <c r="J43" s="63">
        <f t="shared" si="1"/>
        <v>330</v>
      </c>
      <c r="K43" s="63">
        <f t="shared" si="1"/>
        <v>330</v>
      </c>
      <c r="L43" s="63">
        <f t="shared" si="1"/>
        <v>-1000</v>
      </c>
      <c r="M43" s="63">
        <f t="shared" si="1"/>
        <v>330</v>
      </c>
      <c r="N43" s="63">
        <f t="shared" si="1"/>
        <v>330</v>
      </c>
      <c r="O43" s="63">
        <f t="shared" si="1"/>
        <v>330</v>
      </c>
      <c r="P43" s="63">
        <f t="shared" si="1"/>
        <v>330</v>
      </c>
      <c r="Q43" s="63">
        <f t="shared" si="1"/>
        <v>330</v>
      </c>
      <c r="R43" s="63">
        <f t="shared" si="1"/>
        <v>330</v>
      </c>
      <c r="S43" s="63">
        <f t="shared" si="1"/>
        <v>330</v>
      </c>
      <c r="T43" s="63">
        <f t="shared" si="1"/>
        <v>-1000</v>
      </c>
      <c r="U43" s="63">
        <f t="shared" si="1"/>
        <v>330</v>
      </c>
      <c r="V43" s="63">
        <f t="shared" si="1"/>
        <v>330</v>
      </c>
      <c r="W43" s="63">
        <f t="shared" si="1"/>
        <v>330</v>
      </c>
      <c r="X43" s="63">
        <f t="shared" si="1"/>
        <v>330</v>
      </c>
      <c r="Y43" s="63">
        <f t="shared" si="1"/>
        <v>330</v>
      </c>
      <c r="Z43" s="63">
        <f t="shared" si="1"/>
        <v>330</v>
      </c>
      <c r="AA43" s="63">
        <f t="shared" si="1"/>
        <v>330</v>
      </c>
      <c r="AB43" s="63">
        <f t="shared" si="1"/>
        <v>1000</v>
      </c>
    </row>
    <row r="44" spans="3:28" ht="17.25" thickBot="1">
      <c r="C44" s="73" t="s">
        <v>110</v>
      </c>
      <c r="D44" s="61">
        <v>-2000</v>
      </c>
      <c r="E44" s="55">
        <v>1666</v>
      </c>
      <c r="F44" s="55">
        <v>334</v>
      </c>
      <c r="G44" s="55">
        <v>165</v>
      </c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</row>
    <row r="45" spans="3:28" ht="17.25" thickBot="1">
      <c r="C45" s="74" t="s">
        <v>81</v>
      </c>
      <c r="D45" s="62"/>
      <c r="E45" s="62"/>
      <c r="F45" s="62"/>
      <c r="G45" s="63">
        <v>-2000</v>
      </c>
      <c r="H45" s="62">
        <v>1666</v>
      </c>
      <c r="I45" s="62">
        <v>334</v>
      </c>
      <c r="J45" s="62">
        <v>165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</row>
    <row r="46" spans="3:28" ht="17.25" thickBot="1">
      <c r="C46" s="74" t="s">
        <v>82</v>
      </c>
      <c r="D46" s="62"/>
      <c r="E46" s="62"/>
      <c r="F46" s="62"/>
      <c r="G46" s="62"/>
      <c r="H46" s="62"/>
      <c r="I46" s="62"/>
      <c r="J46" s="63">
        <v>-2000</v>
      </c>
      <c r="K46" s="62">
        <v>1666</v>
      </c>
      <c r="L46" s="62">
        <v>334</v>
      </c>
      <c r="M46" s="62">
        <v>165</v>
      </c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3:28" ht="17.25" thickBot="1">
      <c r="C47" s="58" t="s">
        <v>111</v>
      </c>
      <c r="D47" s="62"/>
      <c r="E47" s="62"/>
      <c r="F47" s="62"/>
      <c r="G47" s="62"/>
      <c r="H47" s="62"/>
      <c r="I47" s="62"/>
      <c r="J47" s="62"/>
      <c r="K47" s="62"/>
      <c r="L47" s="62"/>
      <c r="M47" s="63">
        <v>-2000</v>
      </c>
      <c r="N47" s="62">
        <v>1666</v>
      </c>
      <c r="O47" s="62">
        <v>334</v>
      </c>
      <c r="P47" s="62">
        <v>165</v>
      </c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3:28" ht="17.25" thickBot="1">
      <c r="C48" s="58" t="s">
        <v>112</v>
      </c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3">
        <v>-2000</v>
      </c>
      <c r="Q48" s="62">
        <v>1666</v>
      </c>
      <c r="R48" s="62">
        <v>334</v>
      </c>
      <c r="S48" s="62">
        <v>165</v>
      </c>
      <c r="T48" s="62"/>
      <c r="U48" s="62"/>
      <c r="V48" s="62"/>
      <c r="W48" s="62"/>
      <c r="X48" s="62"/>
      <c r="Y48" s="62"/>
      <c r="Z48" s="62"/>
      <c r="AA48" s="62"/>
      <c r="AB48" s="62"/>
    </row>
    <row r="49" spans="3:28" ht="17.25" thickBot="1">
      <c r="C49" s="58" t="s">
        <v>113</v>
      </c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3">
        <v>-2000</v>
      </c>
      <c r="T49" s="62">
        <v>1666</v>
      </c>
      <c r="U49" s="62">
        <v>334</v>
      </c>
      <c r="V49" s="62">
        <v>165</v>
      </c>
      <c r="W49" s="62"/>
      <c r="X49" s="62"/>
      <c r="Y49" s="62"/>
      <c r="Z49" s="62"/>
      <c r="AA49" s="62"/>
      <c r="AB49" s="62"/>
    </row>
    <row r="50" spans="3:28" ht="17.25" thickBot="1">
      <c r="C50" s="58" t="s">
        <v>114</v>
      </c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3">
        <v>-2000</v>
      </c>
      <c r="W50" s="62">
        <v>1666</v>
      </c>
      <c r="X50" s="62">
        <v>334</v>
      </c>
      <c r="Y50" s="62">
        <v>165</v>
      </c>
      <c r="Z50" s="62"/>
      <c r="AA50" s="62"/>
      <c r="AB50" s="62"/>
    </row>
    <row r="51" spans="3:28" ht="17.25" thickBot="1">
      <c r="C51" s="58" t="s">
        <v>115</v>
      </c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3">
        <v>-2000</v>
      </c>
      <c r="Z51" s="62">
        <v>1666</v>
      </c>
      <c r="AA51" s="62">
        <v>334</v>
      </c>
      <c r="AB51" s="62">
        <v>165</v>
      </c>
    </row>
    <row r="52" spans="3:28" ht="17.25" thickBot="1">
      <c r="C52" s="58" t="s">
        <v>109</v>
      </c>
      <c r="D52" s="63">
        <f>SUM(D44:D51)</f>
        <v>-2000</v>
      </c>
      <c r="E52" s="63">
        <f t="shared" ref="E52:AA52" si="2">SUM(E44:E51)</f>
        <v>1666</v>
      </c>
      <c r="F52" s="63">
        <f t="shared" si="2"/>
        <v>334</v>
      </c>
      <c r="G52" s="63">
        <f t="shared" si="2"/>
        <v>-1835</v>
      </c>
      <c r="H52" s="63">
        <f t="shared" si="2"/>
        <v>1666</v>
      </c>
      <c r="I52" s="63">
        <f t="shared" si="2"/>
        <v>334</v>
      </c>
      <c r="J52" s="63">
        <f t="shared" si="2"/>
        <v>-1835</v>
      </c>
      <c r="K52" s="63">
        <f t="shared" si="2"/>
        <v>1666</v>
      </c>
      <c r="L52" s="63">
        <f t="shared" si="2"/>
        <v>334</v>
      </c>
      <c r="M52" s="63">
        <f t="shared" si="2"/>
        <v>-1835</v>
      </c>
      <c r="N52" s="63">
        <f t="shared" si="2"/>
        <v>1666</v>
      </c>
      <c r="O52" s="63">
        <f t="shared" si="2"/>
        <v>334</v>
      </c>
      <c r="P52" s="63">
        <f t="shared" si="2"/>
        <v>-1835</v>
      </c>
      <c r="Q52" s="63">
        <f t="shared" si="2"/>
        <v>1666</v>
      </c>
      <c r="R52" s="63">
        <f t="shared" si="2"/>
        <v>334</v>
      </c>
      <c r="S52" s="63">
        <f t="shared" si="2"/>
        <v>-1835</v>
      </c>
      <c r="T52" s="63">
        <f t="shared" si="2"/>
        <v>1666</v>
      </c>
      <c r="U52" s="63">
        <f t="shared" si="2"/>
        <v>334</v>
      </c>
      <c r="V52" s="63">
        <f t="shared" si="2"/>
        <v>-1835</v>
      </c>
      <c r="W52" s="63">
        <f t="shared" si="2"/>
        <v>1666</v>
      </c>
      <c r="X52" s="63">
        <f t="shared" si="2"/>
        <v>334</v>
      </c>
      <c r="Y52" s="63">
        <f t="shared" si="2"/>
        <v>-1835</v>
      </c>
      <c r="Z52" s="63">
        <f t="shared" si="2"/>
        <v>1666</v>
      </c>
      <c r="AA52" s="63">
        <f t="shared" si="2"/>
        <v>334</v>
      </c>
      <c r="AB52" s="63">
        <f>SUM(AB44:AB51)</f>
        <v>165</v>
      </c>
    </row>
    <row r="55" spans="3:28" ht="17.25" thickBot="1"/>
    <row r="56" spans="3:28" ht="17.25" thickBot="1">
      <c r="C56" s="54" t="s">
        <v>92</v>
      </c>
      <c r="D56" s="54" t="s">
        <v>102</v>
      </c>
      <c r="E56" s="54" t="s">
        <v>103</v>
      </c>
      <c r="H56" s="62"/>
      <c r="I56" s="54" t="s">
        <v>102</v>
      </c>
      <c r="J56" s="54" t="s">
        <v>103</v>
      </c>
    </row>
    <row r="57" spans="3:28" ht="17.25" thickBot="1">
      <c r="C57" s="55" t="s">
        <v>79</v>
      </c>
      <c r="D57" s="65">
        <f>NPV($D$17,E43:AB43)+D43</f>
        <v>123.08611099390919</v>
      </c>
      <c r="E57" s="65">
        <f>NPV($D$17,E52:AB52)+D52</f>
        <v>-308.73860569206954</v>
      </c>
      <c r="H57" s="55" t="s">
        <v>79</v>
      </c>
      <c r="I57" s="75">
        <f>NPV($D$17,E40:L40)+D40</f>
        <v>73.085590048400263</v>
      </c>
      <c r="J57" s="75">
        <f>NPV(D17,E44:G44)+D44</f>
        <v>-85.454545454545496</v>
      </c>
    </row>
    <row r="58" spans="3:28" ht="17.25" thickBot="1">
      <c r="C58" s="55" t="s">
        <v>95</v>
      </c>
      <c r="D58" s="71">
        <f>IRR(D43:AB43)</f>
        <v>0.1086503033373426</v>
      </c>
      <c r="E58" s="71">
        <f>IRR(D52:AB52)</f>
        <v>6.3088234272593288E-2</v>
      </c>
      <c r="H58" s="55" t="s">
        <v>116</v>
      </c>
      <c r="I58" s="62">
        <v>8</v>
      </c>
      <c r="J58" s="62">
        <v>3</v>
      </c>
    </row>
    <row r="59" spans="3:28" ht="17.25" thickBot="1">
      <c r="H59" s="55" t="s">
        <v>97</v>
      </c>
      <c r="I59" s="66">
        <f>PMT(D17,I58,-I57,,0)</f>
        <v>13.699456625497945</v>
      </c>
      <c r="J59" s="66">
        <f>PMT(D17,J58,-J57,,0)</f>
        <v>-34.362537764350442</v>
      </c>
    </row>
  </sheetData>
  <phoneticPr fontId="1" type="noConversion"/>
  <pageMargins left="0.7" right="0.7" top="0.75" bottom="0.75" header="0.3" footer="0.3"/>
  <ignoredErrors>
    <ignoredError sqref="D43:AB43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B10:I57"/>
  <sheetViews>
    <sheetView workbookViewId="0">
      <selection activeCell="I1" sqref="I1"/>
    </sheetView>
  </sheetViews>
  <sheetFormatPr defaultRowHeight="16.5"/>
  <sheetData>
    <row r="10" spans="2:9" ht="17.25" thickBot="1"/>
    <row r="11" spans="2:9" ht="17.25" thickBot="1">
      <c r="B11" s="44" t="s">
        <v>28</v>
      </c>
      <c r="C11" s="45"/>
      <c r="D11" s="45"/>
      <c r="E11" s="45"/>
      <c r="F11" s="45"/>
      <c r="G11" s="45"/>
      <c r="H11" s="45"/>
      <c r="I11" s="46"/>
    </row>
    <row r="12" spans="2:9" ht="17.25" thickBot="1">
      <c r="B12" s="42" t="s">
        <v>29</v>
      </c>
      <c r="C12" s="43"/>
      <c r="D12" s="20">
        <v>10000</v>
      </c>
      <c r="E12" s="21"/>
      <c r="F12" s="42" t="s">
        <v>30</v>
      </c>
      <c r="G12" s="43"/>
      <c r="H12" s="20">
        <v>500</v>
      </c>
      <c r="I12" s="21"/>
    </row>
    <row r="13" spans="2:9" ht="17.25" thickBot="1">
      <c r="B13" s="42" t="s">
        <v>31</v>
      </c>
      <c r="C13" s="43"/>
      <c r="D13" s="20">
        <v>3000</v>
      </c>
      <c r="E13" s="21"/>
      <c r="F13" s="42" t="s">
        <v>32</v>
      </c>
      <c r="G13" s="43"/>
      <c r="H13" s="22">
        <v>0.4</v>
      </c>
      <c r="I13" s="21"/>
    </row>
    <row r="14" spans="2:9" ht="17.25" thickBot="1">
      <c r="B14" s="42" t="s">
        <v>33</v>
      </c>
      <c r="C14" s="43"/>
      <c r="D14" s="23">
        <v>1000</v>
      </c>
      <c r="E14" s="21"/>
      <c r="F14" s="47" t="s">
        <v>34</v>
      </c>
      <c r="G14" s="48"/>
      <c r="H14" s="22">
        <v>0.1</v>
      </c>
      <c r="I14" s="21"/>
    </row>
    <row r="15" spans="2:9" ht="17.25" thickBot="1">
      <c r="B15" s="42" t="s">
        <v>35</v>
      </c>
      <c r="C15" s="43"/>
      <c r="D15" s="20">
        <v>24</v>
      </c>
      <c r="E15" s="21"/>
      <c r="F15" s="21"/>
      <c r="G15" s="21"/>
      <c r="H15" s="21"/>
      <c r="I15" s="21"/>
    </row>
    <row r="16" spans="2:9" ht="17.25" thickBot="1">
      <c r="B16" s="42" t="s">
        <v>36</v>
      </c>
      <c r="C16" s="43"/>
      <c r="D16" s="24">
        <v>17.5</v>
      </c>
      <c r="E16" s="21"/>
      <c r="F16" s="21"/>
      <c r="G16" s="21"/>
      <c r="H16" s="21"/>
      <c r="I16" s="21"/>
    </row>
    <row r="17" spans="2:9" ht="17.25" thickBot="1">
      <c r="B17" s="42" t="s">
        <v>37</v>
      </c>
      <c r="C17" s="43"/>
      <c r="D17" s="20">
        <v>1000</v>
      </c>
      <c r="E17" s="21"/>
      <c r="F17" s="21"/>
      <c r="G17" s="21"/>
      <c r="H17" s="21"/>
      <c r="I17" s="21"/>
    </row>
    <row r="18" spans="2:9" ht="17.25" thickBot="1">
      <c r="B18" s="25"/>
      <c r="C18" s="21"/>
      <c r="D18" s="21"/>
      <c r="E18" s="21"/>
      <c r="F18" s="21"/>
      <c r="G18" s="21"/>
      <c r="H18" s="21"/>
      <c r="I18" s="21"/>
    </row>
    <row r="19" spans="2:9" ht="17.25" thickBot="1">
      <c r="B19" s="44" t="s">
        <v>38</v>
      </c>
      <c r="C19" s="45"/>
      <c r="D19" s="45"/>
      <c r="E19" s="45"/>
      <c r="F19" s="45"/>
      <c r="G19" s="45"/>
      <c r="H19" s="45"/>
      <c r="I19" s="46"/>
    </row>
    <row r="20" spans="2:9" ht="17.25" thickBot="1">
      <c r="B20" s="25"/>
      <c r="C20" s="21"/>
      <c r="D20" s="21" t="s">
        <v>39</v>
      </c>
      <c r="E20" s="26">
        <v>1</v>
      </c>
      <c r="F20" s="26">
        <v>2</v>
      </c>
      <c r="G20" s="26">
        <v>3</v>
      </c>
      <c r="H20" s="26">
        <v>4</v>
      </c>
      <c r="I20" s="21" t="s">
        <v>40</v>
      </c>
    </row>
    <row r="21" spans="2:9" ht="17.25" thickBot="1">
      <c r="B21" s="42" t="s">
        <v>41</v>
      </c>
      <c r="C21" s="43"/>
      <c r="D21" s="21"/>
      <c r="E21" s="27">
        <v>0.2</v>
      </c>
      <c r="F21" s="27">
        <v>0.32</v>
      </c>
      <c r="G21" s="27">
        <v>0.19</v>
      </c>
      <c r="H21" s="27">
        <v>0.12</v>
      </c>
      <c r="I21" s="21"/>
    </row>
    <row r="22" spans="2:9" ht="17.25" thickBot="1">
      <c r="B22" s="42" t="s">
        <v>42</v>
      </c>
      <c r="C22" s="43"/>
      <c r="D22" s="21"/>
      <c r="E22" s="28">
        <v>0</v>
      </c>
      <c r="F22" s="28">
        <v>0</v>
      </c>
      <c r="G22" s="28">
        <v>0</v>
      </c>
      <c r="H22" s="28">
        <v>0</v>
      </c>
      <c r="I22" s="29">
        <v>0</v>
      </c>
    </row>
    <row r="23" spans="2:9" ht="17.25" thickBot="1">
      <c r="B23" s="42" t="s">
        <v>43</v>
      </c>
      <c r="C23" s="43"/>
      <c r="D23" s="30">
        <v>10000</v>
      </c>
      <c r="E23" s="21"/>
      <c r="F23" s="21"/>
      <c r="G23" s="21"/>
      <c r="H23" s="29">
        <v>10000</v>
      </c>
      <c r="I23" s="21"/>
    </row>
    <row r="24" spans="2:9" ht="17.25" thickBot="1">
      <c r="B24" s="25"/>
      <c r="C24" s="21"/>
      <c r="D24" s="21"/>
      <c r="E24" s="21"/>
      <c r="F24" s="21"/>
      <c r="G24" s="21"/>
      <c r="H24" s="21"/>
      <c r="I24" s="21"/>
    </row>
    <row r="25" spans="2:9" ht="17.25" thickBot="1">
      <c r="B25" s="44" t="s">
        <v>44</v>
      </c>
      <c r="C25" s="45"/>
      <c r="D25" s="45"/>
      <c r="E25" s="45"/>
      <c r="F25" s="45"/>
      <c r="G25" s="45"/>
      <c r="H25" s="45"/>
      <c r="I25" s="46"/>
    </row>
    <row r="26" spans="2:9" ht="17.25" thickBot="1">
      <c r="B26" s="42" t="s">
        <v>30</v>
      </c>
      <c r="C26" s="43"/>
      <c r="D26" s="29">
        <v>500</v>
      </c>
      <c r="E26" s="21"/>
      <c r="F26" s="21"/>
      <c r="G26" s="21"/>
      <c r="H26" s="21"/>
      <c r="I26" s="21"/>
    </row>
    <row r="27" spans="2:9" ht="17.25" thickBot="1">
      <c r="B27" s="47" t="s">
        <v>45</v>
      </c>
      <c r="C27" s="48"/>
      <c r="D27" s="31">
        <v>10000</v>
      </c>
      <c r="E27" s="21"/>
      <c r="F27" s="21"/>
      <c r="G27" s="21"/>
      <c r="H27" s="21"/>
      <c r="I27" s="21"/>
    </row>
    <row r="28" spans="2:9" ht="17.25" thickBot="1">
      <c r="B28" s="42" t="s">
        <v>46</v>
      </c>
      <c r="C28" s="43"/>
      <c r="D28" s="29">
        <v>-9500</v>
      </c>
      <c r="E28" s="21"/>
      <c r="F28" s="21"/>
      <c r="G28" s="21"/>
      <c r="H28" s="21"/>
      <c r="I28" s="21"/>
    </row>
    <row r="29" spans="2:9" ht="17.25" thickBot="1">
      <c r="B29" s="42" t="s">
        <v>47</v>
      </c>
      <c r="C29" s="43"/>
      <c r="D29" s="29">
        <v>-3800</v>
      </c>
      <c r="E29" s="21"/>
      <c r="F29" s="21"/>
      <c r="G29" s="21"/>
      <c r="H29" s="21"/>
      <c r="I29" s="21"/>
    </row>
    <row r="30" spans="2:9" ht="17.25" thickBot="1">
      <c r="B30" s="49" t="s">
        <v>48</v>
      </c>
      <c r="C30" s="50"/>
      <c r="D30" s="29">
        <v>4300</v>
      </c>
      <c r="E30" s="21"/>
      <c r="F30" s="21"/>
      <c r="G30" s="21"/>
      <c r="H30" s="21"/>
      <c r="I30" s="21"/>
    </row>
    <row r="31" spans="2:9" ht="17.25" thickBot="1">
      <c r="B31" s="25"/>
      <c r="C31" s="21"/>
      <c r="D31" s="21"/>
      <c r="E31" s="21"/>
      <c r="F31" s="21"/>
      <c r="G31" s="21"/>
      <c r="H31" s="21"/>
      <c r="I31" s="21"/>
    </row>
    <row r="32" spans="2:9" ht="17.25" thickBot="1">
      <c r="B32" s="44" t="s">
        <v>49</v>
      </c>
      <c r="C32" s="45"/>
      <c r="D32" s="45"/>
      <c r="E32" s="45"/>
      <c r="F32" s="45"/>
      <c r="G32" s="45"/>
      <c r="H32" s="45"/>
      <c r="I32" s="46"/>
    </row>
    <row r="33" spans="2:9" ht="17.25" thickBot="1">
      <c r="B33" s="32"/>
      <c r="C33" s="33"/>
      <c r="D33" s="33"/>
      <c r="E33" s="33"/>
      <c r="F33" s="33"/>
      <c r="G33" s="33"/>
      <c r="H33" s="33"/>
      <c r="I33" s="33"/>
    </row>
    <row r="34" spans="2:9" ht="17.25" thickBot="1">
      <c r="B34" s="32"/>
      <c r="C34" s="33"/>
      <c r="D34" s="26">
        <v>0</v>
      </c>
      <c r="E34" s="26">
        <v>1</v>
      </c>
      <c r="F34" s="26">
        <v>2</v>
      </c>
      <c r="G34" s="26">
        <v>3</v>
      </c>
      <c r="H34" s="26">
        <v>4</v>
      </c>
      <c r="I34" s="33"/>
    </row>
    <row r="35" spans="2:9" ht="17.25" thickBot="1">
      <c r="B35" s="42" t="s">
        <v>50</v>
      </c>
      <c r="C35" s="43"/>
      <c r="D35" s="34"/>
      <c r="E35" s="34"/>
      <c r="F35" s="34"/>
      <c r="G35" s="34"/>
      <c r="H35" s="34"/>
      <c r="I35" s="21"/>
    </row>
    <row r="36" spans="2:9" ht="17.25" thickBot="1">
      <c r="B36" s="49" t="s">
        <v>29</v>
      </c>
      <c r="C36" s="50"/>
      <c r="D36" s="31">
        <v>-10000</v>
      </c>
      <c r="E36" s="21"/>
      <c r="F36" s="21"/>
      <c r="G36" s="21"/>
      <c r="H36" s="21"/>
      <c r="I36" s="21"/>
    </row>
    <row r="37" spans="2:9" ht="17.25" thickBot="1">
      <c r="B37" s="49" t="s">
        <v>51</v>
      </c>
      <c r="C37" s="50"/>
      <c r="D37" s="31">
        <v>-3000</v>
      </c>
      <c r="E37" s="21"/>
      <c r="F37" s="21"/>
      <c r="G37" s="21"/>
      <c r="H37" s="21"/>
      <c r="I37" s="21"/>
    </row>
    <row r="38" spans="2:9" ht="17.25" thickBot="1">
      <c r="B38" s="42"/>
      <c r="C38" s="43"/>
      <c r="D38" s="21"/>
      <c r="E38" s="21"/>
      <c r="F38" s="21"/>
      <c r="G38" s="21"/>
      <c r="H38" s="21"/>
      <c r="I38" s="21"/>
    </row>
    <row r="39" spans="2:9" ht="17.25" thickBot="1">
      <c r="B39" s="42" t="s">
        <v>52</v>
      </c>
      <c r="C39" s="43"/>
      <c r="D39" s="21"/>
      <c r="E39" s="21"/>
      <c r="F39" s="21"/>
      <c r="G39" s="21"/>
      <c r="H39" s="21"/>
      <c r="I39" s="21"/>
    </row>
    <row r="40" spans="2:9" ht="17.25" thickBot="1">
      <c r="B40" s="42" t="s">
        <v>53</v>
      </c>
      <c r="C40" s="43"/>
      <c r="D40" s="21"/>
      <c r="E40" s="31">
        <v>1000</v>
      </c>
      <c r="F40" s="31">
        <v>1000</v>
      </c>
      <c r="G40" s="31">
        <v>1000</v>
      </c>
      <c r="H40" s="31">
        <v>1000</v>
      </c>
      <c r="I40" s="21"/>
    </row>
    <row r="41" spans="2:9" ht="17.25" thickBot="1">
      <c r="B41" s="42" t="s">
        <v>54</v>
      </c>
      <c r="C41" s="43"/>
      <c r="D41" s="21"/>
      <c r="E41" s="28">
        <v>24</v>
      </c>
      <c r="F41" s="28">
        <v>24</v>
      </c>
      <c r="G41" s="28">
        <v>24</v>
      </c>
      <c r="H41" s="28">
        <v>24</v>
      </c>
      <c r="I41" s="21"/>
    </row>
    <row r="42" spans="2:9" ht="17.25" thickBot="1">
      <c r="B42" s="42" t="s">
        <v>55</v>
      </c>
      <c r="C42" s="43"/>
      <c r="D42" s="21"/>
      <c r="E42" s="31">
        <v>24000</v>
      </c>
      <c r="F42" s="31">
        <v>24000</v>
      </c>
      <c r="G42" s="31">
        <v>24000</v>
      </c>
      <c r="H42" s="31">
        <v>24000</v>
      </c>
      <c r="I42" s="21"/>
    </row>
    <row r="43" spans="2:9" ht="17.25" thickBot="1">
      <c r="B43" s="42" t="s">
        <v>56</v>
      </c>
      <c r="C43" s="43"/>
      <c r="D43" s="21"/>
      <c r="E43" s="31">
        <v>20000</v>
      </c>
      <c r="F43" s="31">
        <v>20000</v>
      </c>
      <c r="G43" s="31">
        <v>20000</v>
      </c>
      <c r="H43" s="31">
        <v>20000</v>
      </c>
      <c r="I43" s="21"/>
    </row>
    <row r="44" spans="2:9" ht="17.25" thickBot="1">
      <c r="B44" s="42" t="s">
        <v>37</v>
      </c>
      <c r="C44" s="43"/>
      <c r="D44" s="21"/>
      <c r="E44" s="28">
        <v>0</v>
      </c>
      <c r="F44" s="28">
        <v>0</v>
      </c>
      <c r="G44" s="28">
        <v>0</v>
      </c>
      <c r="H44" s="28">
        <v>0</v>
      </c>
      <c r="I44" s="21"/>
    </row>
    <row r="45" spans="2:9" ht="17.25" thickBot="1">
      <c r="B45" s="42" t="s">
        <v>57</v>
      </c>
      <c r="C45" s="43"/>
      <c r="D45" s="21"/>
      <c r="E45" s="28">
        <v>0</v>
      </c>
      <c r="F45" s="28">
        <v>0</v>
      </c>
      <c r="G45" s="28">
        <v>0</v>
      </c>
      <c r="H45" s="28">
        <v>0</v>
      </c>
      <c r="I45" s="21"/>
    </row>
    <row r="46" spans="2:9" ht="17.25" thickBot="1">
      <c r="B46" s="42" t="s">
        <v>58</v>
      </c>
      <c r="C46" s="43"/>
      <c r="D46" s="21"/>
      <c r="E46" s="31">
        <v>4000</v>
      </c>
      <c r="F46" s="31">
        <v>4000</v>
      </c>
      <c r="G46" s="31">
        <v>4000</v>
      </c>
      <c r="H46" s="31">
        <v>4000</v>
      </c>
      <c r="I46" s="21"/>
    </row>
    <row r="47" spans="2:9" ht="17.25" thickBot="1">
      <c r="B47" s="42" t="s">
        <v>59</v>
      </c>
      <c r="C47" s="43"/>
      <c r="D47" s="21"/>
      <c r="E47" s="28">
        <v>0</v>
      </c>
      <c r="F47" s="28">
        <v>0</v>
      </c>
      <c r="G47" s="28">
        <v>0</v>
      </c>
      <c r="H47" s="28">
        <v>0</v>
      </c>
      <c r="I47" s="21"/>
    </row>
    <row r="48" spans="2:9" ht="17.25" thickBot="1">
      <c r="B48" s="42" t="s">
        <v>60</v>
      </c>
      <c r="C48" s="43"/>
      <c r="D48" s="21"/>
      <c r="E48" s="31">
        <v>4000</v>
      </c>
      <c r="F48" s="31">
        <v>4000</v>
      </c>
      <c r="G48" s="31">
        <v>4000</v>
      </c>
      <c r="H48" s="31">
        <v>4000</v>
      </c>
      <c r="I48" s="21"/>
    </row>
    <row r="49" spans="2:9" ht="17.25" thickBot="1">
      <c r="B49" s="42" t="s">
        <v>61</v>
      </c>
      <c r="C49" s="43"/>
      <c r="D49" s="21"/>
      <c r="E49" s="28">
        <v>0</v>
      </c>
      <c r="F49" s="28">
        <v>0</v>
      </c>
      <c r="G49" s="28">
        <v>0</v>
      </c>
      <c r="H49" s="28">
        <v>0</v>
      </c>
      <c r="I49" s="21"/>
    </row>
    <row r="50" spans="2:9" ht="17.25" thickBot="1">
      <c r="B50" s="49" t="s">
        <v>52</v>
      </c>
      <c r="C50" s="50"/>
      <c r="D50" s="21"/>
      <c r="E50" s="29">
        <v>4000</v>
      </c>
      <c r="F50" s="29">
        <v>4000</v>
      </c>
      <c r="G50" s="29">
        <v>4000</v>
      </c>
      <c r="H50" s="29">
        <v>4000</v>
      </c>
      <c r="I50" s="21"/>
    </row>
    <row r="51" spans="2:9" ht="17.25" thickBot="1">
      <c r="B51" s="25"/>
      <c r="C51" s="21"/>
      <c r="D51" s="21"/>
      <c r="E51" s="21"/>
      <c r="F51" s="21"/>
      <c r="G51" s="21"/>
      <c r="H51" s="21"/>
      <c r="I51" s="21"/>
    </row>
    <row r="52" spans="2:9" ht="17.25" thickBot="1">
      <c r="B52" s="42" t="s">
        <v>62</v>
      </c>
      <c r="C52" s="43"/>
      <c r="D52" s="21"/>
      <c r="E52" s="21"/>
      <c r="F52" s="21"/>
      <c r="G52" s="21"/>
      <c r="H52" s="21"/>
      <c r="I52" s="21"/>
    </row>
    <row r="53" spans="2:9" ht="17.25" thickBot="1">
      <c r="B53" s="42" t="s">
        <v>63</v>
      </c>
      <c r="C53" s="43"/>
      <c r="D53" s="21"/>
      <c r="E53" s="21"/>
      <c r="F53" s="21"/>
      <c r="G53" s="21"/>
      <c r="H53" s="31">
        <v>3000</v>
      </c>
      <c r="I53" s="21"/>
    </row>
    <row r="54" spans="2:9" ht="17.25" thickBot="1">
      <c r="B54" s="42" t="s">
        <v>48</v>
      </c>
      <c r="C54" s="43"/>
      <c r="D54" s="21"/>
      <c r="E54" s="21"/>
      <c r="F54" s="21"/>
      <c r="G54" s="21"/>
      <c r="H54" s="31">
        <v>4300</v>
      </c>
      <c r="I54" s="21"/>
    </row>
    <row r="55" spans="2:9" ht="17.25" thickBot="1">
      <c r="B55" s="49" t="s">
        <v>64</v>
      </c>
      <c r="C55" s="50"/>
      <c r="D55" s="21"/>
      <c r="E55" s="21"/>
      <c r="F55" s="21"/>
      <c r="G55" s="21"/>
      <c r="H55" s="29">
        <v>7300</v>
      </c>
      <c r="I55" s="21"/>
    </row>
    <row r="56" spans="2:9" ht="17.25" thickBot="1">
      <c r="B56" s="25"/>
      <c r="C56" s="21"/>
      <c r="D56" s="21"/>
      <c r="E56" s="21"/>
      <c r="F56" s="21"/>
      <c r="G56" s="21"/>
      <c r="H56" s="21"/>
      <c r="I56" s="21"/>
    </row>
    <row r="57" spans="2:9" ht="17.25" thickBot="1">
      <c r="B57" s="42" t="s">
        <v>65</v>
      </c>
      <c r="C57" s="43"/>
      <c r="D57" s="30">
        <v>-13000</v>
      </c>
      <c r="E57" s="29">
        <v>4000</v>
      </c>
      <c r="F57" s="29">
        <v>4000</v>
      </c>
      <c r="G57" s="29">
        <v>4000</v>
      </c>
      <c r="H57" s="29">
        <v>11300</v>
      </c>
      <c r="I57" s="21"/>
    </row>
  </sheetData>
  <mergeCells count="42">
    <mergeCell ref="B52:C52"/>
    <mergeCell ref="B53:C53"/>
    <mergeCell ref="B54:C54"/>
    <mergeCell ref="B55:C55"/>
    <mergeCell ref="B57:C57"/>
    <mergeCell ref="B50:C50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38:C38"/>
    <mergeCell ref="B23:C23"/>
    <mergeCell ref="B25:I25"/>
    <mergeCell ref="B26:C26"/>
    <mergeCell ref="B27:C27"/>
    <mergeCell ref="B28:C28"/>
    <mergeCell ref="B29:C29"/>
    <mergeCell ref="B30:C30"/>
    <mergeCell ref="B32:I32"/>
    <mergeCell ref="B35:C35"/>
    <mergeCell ref="B36:C36"/>
    <mergeCell ref="B37:C37"/>
    <mergeCell ref="B22:C22"/>
    <mergeCell ref="B11:I11"/>
    <mergeCell ref="B12:C12"/>
    <mergeCell ref="F12:G12"/>
    <mergeCell ref="B13:C13"/>
    <mergeCell ref="F13:G13"/>
    <mergeCell ref="B14:C14"/>
    <mergeCell ref="F14:G14"/>
    <mergeCell ref="B15:C15"/>
    <mergeCell ref="B16:C16"/>
    <mergeCell ref="B17:C17"/>
    <mergeCell ref="B19:I19"/>
    <mergeCell ref="B21:C21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B9:I14"/>
  <sheetViews>
    <sheetView workbookViewId="0">
      <selection activeCell="I1" sqref="I1"/>
    </sheetView>
  </sheetViews>
  <sheetFormatPr defaultRowHeight="16.5"/>
  <sheetData>
    <row r="9" spans="2:9" ht="17.25" thickBot="1"/>
    <row r="10" spans="2:9" ht="17.25" thickBot="1">
      <c r="B10" s="35" t="s">
        <v>66</v>
      </c>
      <c r="C10" s="36" t="s">
        <v>17</v>
      </c>
      <c r="D10" s="37">
        <v>0</v>
      </c>
      <c r="E10" s="37">
        <v>1</v>
      </c>
      <c r="F10" s="37">
        <v>2</v>
      </c>
      <c r="G10" s="37">
        <v>3</v>
      </c>
      <c r="H10" s="37">
        <v>4</v>
      </c>
      <c r="I10" s="37">
        <v>5</v>
      </c>
    </row>
    <row r="11" spans="2:9" ht="17.25" thickBot="1">
      <c r="B11" s="38"/>
      <c r="C11" s="39" t="s">
        <v>18</v>
      </c>
      <c r="D11" s="40">
        <v>-40000</v>
      </c>
      <c r="E11" s="40">
        <v>10000</v>
      </c>
      <c r="F11" s="40">
        <v>10800</v>
      </c>
      <c r="G11" s="40">
        <v>11664</v>
      </c>
      <c r="H11" s="40">
        <v>13000</v>
      </c>
      <c r="I11" s="40">
        <v>11664</v>
      </c>
    </row>
    <row r="12" spans="2:9" ht="17.25" thickBot="1">
      <c r="B12" s="38"/>
      <c r="C12" s="39"/>
      <c r="D12" s="39"/>
      <c r="E12" s="39"/>
      <c r="F12" s="39"/>
      <c r="G12" s="39"/>
      <c r="H12" s="39"/>
      <c r="I12" s="39"/>
    </row>
    <row r="13" spans="2:9" ht="17.25" thickBot="1">
      <c r="B13" s="38" t="s">
        <v>67</v>
      </c>
      <c r="C13" s="39" t="s">
        <v>17</v>
      </c>
      <c r="D13" s="41">
        <v>0</v>
      </c>
      <c r="E13" s="41">
        <v>1</v>
      </c>
      <c r="F13" s="41">
        <v>2</v>
      </c>
      <c r="G13" s="41">
        <v>3</v>
      </c>
      <c r="H13" s="41">
        <v>4</v>
      </c>
      <c r="I13" s="41">
        <v>5</v>
      </c>
    </row>
    <row r="14" spans="2:9" ht="17.25" thickBot="1">
      <c r="B14" s="38"/>
      <c r="C14" s="39" t="s">
        <v>18</v>
      </c>
      <c r="D14" s="40">
        <v>-30000</v>
      </c>
      <c r="E14" s="40">
        <v>8500</v>
      </c>
      <c r="F14" s="40">
        <v>9000</v>
      </c>
      <c r="G14" s="40">
        <v>10000</v>
      </c>
      <c r="H14" s="40">
        <v>8000</v>
      </c>
      <c r="I14" s="40">
        <v>8000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J1" sqref="J1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E1</vt:lpstr>
      <vt:lpstr>E2</vt:lpstr>
      <vt:lpstr>E3</vt:lpstr>
      <vt:lpstr>E4</vt:lpstr>
      <vt:lpstr>E5</vt:lpstr>
      <vt:lpstr>E6</vt:lpstr>
      <vt:lpstr>E7</vt:lpstr>
      <vt:lpstr>E8</vt:lpstr>
      <vt:lpstr>E9</vt:lpstr>
      <vt:lpstr>E10</vt:lpstr>
      <vt:lpstr>E11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財務軟體應用</dc:title>
  <dc:creator>姜堯民</dc:creator>
  <dc:description>版權所有，翻印必究。</dc:description>
  <cp:lastModifiedBy>user</cp:lastModifiedBy>
  <dcterms:created xsi:type="dcterms:W3CDTF">2009-08-02T02:10:21Z</dcterms:created>
  <dcterms:modified xsi:type="dcterms:W3CDTF">2009-04-20T13:30:51Z</dcterms:modified>
</cp:coreProperties>
</file>